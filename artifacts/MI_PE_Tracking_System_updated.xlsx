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0960" windowHeight="23040" tabRatio="500" firstSheet="0" activeTab="4" autoFilterDateGrouping="1"/>
  </bookViews>
  <sheets>
    <sheet name="Master Log MI_PE" sheetId="1" state="visible" r:id="rId1"/>
    <sheet name="S&amp;P 500 Tracker" sheetId="2" state="visible" r:id="rId2"/>
    <sheet name="Oil Tracker" sheetId="3" state="visible" r:id="rId3"/>
    <sheet name="Sector Intelligence Log" sheetId="4" state="visible" r:id="rId4"/>
    <sheet name="Reference" sheetId="5" state="visible" r:id="rId5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1">
    <font>
      <name val="Calibri"/>
      <charset val="1"/>
      <family val="2"/>
      <color theme="1"/>
      <sz val="11"/>
    </font>
    <font>
      <name val="Calibri"/>
      <family val="2"/>
      <color theme="1"/>
      <sz val="12"/>
      <scheme val="minor"/>
    </font>
    <font>
      <name val="Arial"/>
      <charset val="1"/>
      <b val="1"/>
      <color rgb="FFFFFFFF"/>
      <sz val="14"/>
    </font>
    <font>
      <name val="Arial"/>
      <charset val="1"/>
      <i val="1"/>
      <color rgb="FF6B7280"/>
      <sz val="10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Calibri"/>
      <charset val="1"/>
      <family val="2"/>
      <color theme="1"/>
      <sz val="11"/>
    </font>
    <font>
      <name val="Calibri"/>
      <family val="2"/>
      <color rgb="FF9C0006"/>
      <sz val="12"/>
      <scheme val="minor"/>
    </font>
    <font>
      <name val="Arial"/>
      <family val="2"/>
      <b val="1"/>
      <sz val="10"/>
    </font>
    <font>
      <name val="Calibri"/>
      <charset val="1"/>
      <family val="2"/>
      <color theme="5" tint="-0.249977111117893"/>
      <sz val="11"/>
    </font>
  </fonts>
  <fills count="12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74151"/>
        <bgColor rgb="FF1F2937"/>
      </patternFill>
    </fill>
    <fill>
      <patternFill patternType="solid">
        <fgColor rgb="FFFFF7CC"/>
        <bgColor rgb="FFFFFFFF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5" tint="0.3999755851924192"/>
        <bgColor rgb="FFFFFFFF"/>
      </patternFill>
    </fill>
    <fill>
      <patternFill patternType="solid">
        <fgColor theme="5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7" fillId="0" borderId="0"/>
    <xf numFmtId="0" fontId="8" fillId="7" borderId="0"/>
    <xf numFmtId="0" fontId="7" fillId="8" borderId="3"/>
  </cellStyleXfs>
  <cellXfs count="51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4" fontId="5" fillId="4" borderId="1" pivotButton="0" quotePrefix="0" xfId="0"/>
    <xf numFmtId="10" fontId="5" fillId="4" borderId="1" pivotButton="0" quotePrefix="0" xfId="0"/>
    <xf numFmtId="0" fontId="6" fillId="4" borderId="1" applyAlignment="1" pivotButton="0" quotePrefix="0" xfId="0">
      <alignment horizontal="center"/>
    </xf>
    <xf numFmtId="0" fontId="5" fillId="4" borderId="1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/>
    </xf>
    <xf numFmtId="0" fontId="0" fillId="5" borderId="4" pivotButton="0" quotePrefix="0" xfId="0"/>
    <xf numFmtId="0" fontId="0" fillId="6" borderId="4" pivotButton="0" quotePrefix="0" xfId="0"/>
    <xf numFmtId="0" fontId="1" fillId="8" borderId="3" pivotButton="0" quotePrefix="0" xfId="2"/>
    <xf numFmtId="4" fontId="1" fillId="8" borderId="3" pivotButton="0" quotePrefix="0" xfId="2"/>
    <xf numFmtId="10" fontId="1" fillId="8" borderId="3" pivotButton="0" quotePrefix="0" xfId="2"/>
    <xf numFmtId="0" fontId="1" fillId="8" borderId="3" applyAlignment="1" pivotButton="0" quotePrefix="0" xfId="2">
      <alignment horizontal="center"/>
    </xf>
    <xf numFmtId="0" fontId="1" fillId="8" borderId="3" applyAlignment="1" pivotButton="0" quotePrefix="0" xfId="2">
      <alignment wrapText="1"/>
    </xf>
    <xf numFmtId="0" fontId="5" fillId="0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5" fillId="0" borderId="4" pivotButton="0" quotePrefix="0" xfId="0"/>
    <xf numFmtId="164" fontId="5" fillId="0" borderId="4" pivotButton="0" quotePrefix="0" xfId="0"/>
    <xf numFmtId="10" fontId="5" fillId="0" borderId="4" pivotButton="0" quotePrefix="0" xfId="0"/>
    <xf numFmtId="0" fontId="5" fillId="4" borderId="4" pivotButton="0" quotePrefix="0" xfId="0"/>
    <xf numFmtId="164" fontId="5" fillId="4" borderId="4" pivotButton="0" quotePrefix="0" xfId="0"/>
    <xf numFmtId="10" fontId="5" fillId="4" borderId="4" pivotButton="0" quotePrefix="0" xfId="0"/>
    <xf numFmtId="0" fontId="0" fillId="5" borderId="4" pivotButton="0" quotePrefix="0" xfId="0"/>
    <xf numFmtId="0" fontId="0" fillId="6" borderId="4" pivotButton="0" quotePrefix="0" xfId="0"/>
    <xf numFmtId="0" fontId="5" fillId="10" borderId="4" applyAlignment="1" pivotButton="0" quotePrefix="0" xfId="0">
      <alignment vertical="top" wrapText="1"/>
    </xf>
    <xf numFmtId="0" fontId="8" fillId="9" borderId="4" applyAlignment="1" pivotButton="0" quotePrefix="0" xfId="1">
      <alignment vertical="top" wrapText="1"/>
    </xf>
    <xf numFmtId="0" fontId="8" fillId="11" borderId="4" applyAlignment="1" pivotButton="0" quotePrefix="0" xfId="1">
      <alignment vertical="top" wrapText="1"/>
    </xf>
    <xf numFmtId="0" fontId="0" fillId="11" borderId="4" pivotButton="0" quotePrefix="0" xfId="0"/>
    <xf numFmtId="0" fontId="10" fillId="11" borderId="4" pivotButton="0" quotePrefix="0" xfId="0"/>
    <xf numFmtId="4" fontId="5" fillId="0" borderId="4" applyAlignment="1" pivotButton="0" quotePrefix="0" xfId="0">
      <alignment vertical="top" wrapText="1"/>
    </xf>
    <xf numFmtId="10" fontId="5" fillId="0" borderId="4" applyAlignment="1" pivotButton="0" quotePrefix="0" xfId="0">
      <alignment vertical="top" wrapText="1"/>
    </xf>
    <xf numFmtId="164" fontId="5" fillId="0" borderId="4" applyAlignment="1" pivotButton="0" quotePrefix="0" xfId="0">
      <alignment vertical="top" wrapText="1"/>
    </xf>
    <xf numFmtId="4" fontId="5" fillId="4" borderId="4" applyAlignment="1" pivotButton="0" quotePrefix="0" xfId="0">
      <alignment vertical="top" wrapText="1"/>
    </xf>
    <xf numFmtId="10" fontId="5" fillId="4" borderId="4" applyAlignment="1" pivotButton="0" quotePrefix="0" xfId="0">
      <alignment vertical="top" wrapText="1"/>
    </xf>
    <xf numFmtId="164" fontId="5" fillId="4" borderId="4" applyAlignment="1" pivotButton="0" quotePrefix="0" xfId="0">
      <alignment vertical="top" wrapText="1"/>
    </xf>
    <xf numFmtId="0" fontId="0" fillId="5" borderId="4" pivotButton="0" quotePrefix="0" xfId="0"/>
    <xf numFmtId="0" fontId="0" fillId="0" borderId="4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</cellXfs>
  <cellStyles count="3">
    <cellStyle name="Normal" xfId="0" builtinId="0"/>
    <cellStyle name="Bad" xfId="1" builtinId="27"/>
    <cellStyle name="Note" xfId="2" builtinId="10"/>
  </cellStyles>
  <dxfs count="16">
    <dxf>
      <fill>
        <patternFill patternType="solid">
          <fgColor indexed="64"/>
          <bgColor rgb="FFFFF2CC"/>
        </patternFill>
      </fill>
      <border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indexed="64"/>
          <bgColor rgb="FFFFF2CC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indexed="64"/>
          <bgColor rgb="FFFFF2CC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rgb="FFFFF2CC"/>
          <bgColor indexed="64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rgb="FFFFF2CC"/>
          <bgColor indexed="64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rgb="FFFFF2CC"/>
          <bgColor indexed="64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rgb="FFFFF2CC"/>
          <bgColor indexed="64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rgb="FFFFF2CC"/>
          <bgColor indexed="64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rgb="FFFFF2CC"/>
          <bgColor indexed="64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rgb="FFFFF2CC"/>
          <bgColor indexed="64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rgb="FFFFF2CC"/>
          <bgColor indexed="64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rgb="FFFFF2CC"/>
          <bgColor indexed="64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rgb="FFFFF2CC"/>
          <bgColor indexed="64"/>
        </patternFill>
      </fill>
      <border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outline="0">
        <top style="thin">
          <color rgb="FFD1D5DB"/>
        </top>
      </border>
    </dxf>
    <dxf>
      <fill>
        <patternFill patternType="solid">
          <fgColor indexed="64"/>
          <bgColor rgb="FFFFF2CC"/>
        </patternFill>
      </fill>
    </dxf>
    <dxf>
      <font>
        <name val="Calibri"/>
        <charset val="1"/>
        <family val="2"/>
        <strike val="0"/>
        <outline val="0"/>
        <shadow val="0"/>
        <color theme="1"/>
        <sz val="11"/>
        <vertAlign val="baseline"/>
      </font>
      <fill>
        <patternFill patternType="solid">
          <fgColor indexed="64"/>
          <bgColor rgb="FFD9EAD3"/>
        </patternFill>
      </fill>
      <border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'PE': </a:t>
            </a:r>
            <a:r>
              <a:rPr lang="en-US">
                <a:solidFill>
                  <a:srgbClr val="DD5A13"/>
                </a:solidFill>
              </a:rPr>
              <a:t>Apollo/Blackstone $36B private-credit funds Anthropic TPU deal (May 29)</a:t>
            </a:r>
            <a:r>
              <a:rPr lang="en-US"/>
              <a:t xml:space="preserve"> has noticeably lower 'S&amp;P </a:t>
            </a:r>
            <a:r>
              <a:rPr lang="el-GR"/>
              <a:t>Δ%'.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solidFill>
            <a:srgbClr val="91919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>
            <a:srgbClr val="ED7331"/>
          </a:solidFill>
          <a:ln>
            <a:noFill/>
            <a:prstDash val="solid"/>
          </a:ln>
        </spPr>
      </pivotFmt>
      <pivotFmt>
        <idx val="2"/>
        <spPr>
          <a:solidFill>
            <a:srgbClr val="91919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>
            <a:srgbClr val="ED7331"/>
          </a:solidFill>
          <a:ln>
            <a:noFill/>
            <a:prstDash val="solid"/>
          </a:ln>
        </spPr>
      </pivotFmt>
      <pivotFmt>
        <idx val="4"/>
        <spPr>
          <a:solidFill>
            <a:srgbClr val="91919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>
            <a:srgbClr val="ED7331"/>
          </a:solidFill>
          <a:ln>
            <a:noFill/>
            <a:prstDash val="solid"/>
          </a:ln>
        </spPr>
      </pivotFmt>
    </pivotFmts>
    <plotArea>
      <layout/>
      <barChart>
        <barDir val="bar"/>
        <grouping val="clustered"/>
        <varyColors val="0"/>
        <ser>
          <idx val="0"/>
          <order val="0"/>
          <tx>
            <v>Total</v>
          </tx>
          <spPr>
            <a:solidFill>
              <a:srgbClr val="91919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ED7331"/>
              </a:solidFill>
              <a:ln>
                <a:noFill/>
                <a:prstDash val="solid"/>
              </a:ln>
            </spPr>
          </dPt>
          <cat>
            <strLit>
              <ptCount val="7"/>
              <pt idx="0">
                <v>Apollo/Blackstone $36B private-credit funds Anthropic TPU deal (May 29)</v>
              </pt>
              <pt idx="1">
                <v>BofA: 3 Fed hikes 2026 -&gt;4.25-4.50%</v>
              </pt>
              <pt idx="2">
                <v>Mega-LBO barbell (EA $55B, WBA $23.7B, OneStream $6.4B)</v>
              </pt>
              <pt idx="3">
                <v>Montagu/BMC Helix; NextEra/Caliber $1.3B+Quantum JV</v>
              </pt>
              <pt idx="4">
                <v>—</v>
              </pt>
              <pt idx="5">
                <v>Take-privates continue</v>
              </pt>
              <pt idx="6">
                <v>PE deploying into rebound</v>
              </pt>
            </strLit>
          </cat>
          <val>
            <numLit>
              <formatCode>General</formatCode>
              <ptCount val="7"/>
              <pt idx="0">
                <v>-0.0264</v>
              </pt>
              <pt idx="1">
                <v>-0.0144</v>
              </pt>
              <pt idx="2">
                <v>-0.0121</v>
              </pt>
              <pt idx="3">
                <v>0.0012</v>
              </pt>
              <pt idx="4">
                <v>0.0019625</v>
              </pt>
              <pt idx="5">
                <v>0.0108</v>
              </pt>
              <pt idx="6">
                <v>0.0146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3"/>
        <overlap val="-30"/>
        <axId val="1877376240"/>
        <axId val="1877310432"/>
      </barChart>
      <catAx>
        <axId val="1877376240"/>
        <scaling>
          <orientation val="maxMin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77310432"/>
        <crosses val="autoZero"/>
        <auto val="1"/>
        <lblAlgn val="ctr"/>
        <lblOffset val="100"/>
        <noMultiLvlLbl val="0"/>
      </catAx>
      <valAx>
        <axId val="187731043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S&amp;P </a:t>
                </a:r>
                <a:r>
                  <a:rPr lang="el-GR"/>
                  <a:t>Δ%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77376240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'HEALTHCARE': </a:t>
            </a:r>
            <a:r>
              <a:rPr lang="en-US">
                <a:solidFill>
                  <a:srgbClr val="DD5A13"/>
                </a:solidFill>
              </a:rPr>
              <a:t>—</a:t>
            </a:r>
            <a:r>
              <a:rPr lang="en-US"/>
              <a:t xml:space="preserve"> accounts for the majority of 'S&amp;P 500'.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solidFill>
            <a:srgbClr val="919191"/>
          </a:solidFill>
          <a:ln w="19050">
            <a:solidFill>
              <a:schemeClr val="lt1"/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>
            <a:srgbClr val="ED7331"/>
          </a:solidFill>
          <a:ln w="19050">
            <a:solidFill>
              <a:schemeClr val="lt1"/>
            </a:solidFill>
            <a:prstDash val="solid"/>
          </a:ln>
        </spPr>
      </pivotFmt>
      <pivotFmt>
        <idx val="2"/>
        <spPr>
          <a:solidFill>
            <a:srgbClr val="919191"/>
          </a:solidFill>
          <a:ln w="19050">
            <a:solidFill>
              <a:schemeClr val="lt1"/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>
            <a:srgbClr val="ED7331"/>
          </a:solidFill>
          <a:ln w="19050">
            <a:solidFill>
              <a:schemeClr val="lt1"/>
            </a:solidFill>
            <a:prstDash val="solid"/>
          </a:ln>
        </spPr>
      </pivotFmt>
      <pivotFmt>
        <idx val="4"/>
        <spPr>
          <a:solidFill>
            <a:srgbClr val="919191"/>
          </a:solidFill>
          <a:ln w="19050">
            <a:solidFill>
              <a:schemeClr val="lt1"/>
            </a:solidFill>
            <a:prstDash val="solid"/>
          </a:ln>
        </spPr>
      </pivotFmt>
      <pivotFmt>
        <idx val="5"/>
        <spPr>
          <a:solidFill>
            <a:srgbClr val="919191"/>
          </a:solidFill>
          <a:ln w="19050">
            <a:solidFill>
              <a:schemeClr val="lt1"/>
            </a:solidFill>
            <a:prstDash val="solid"/>
          </a:ln>
        </spPr>
      </pivotFmt>
      <pivotFmt>
        <idx val="6"/>
        <spPr>
          <a:solidFill>
            <a:srgbClr val="919191"/>
          </a:solidFill>
          <a:ln w="19050">
            <a:solidFill>
              <a:schemeClr val="lt1"/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>
            <a:srgbClr val="ED7331"/>
          </a:solidFill>
          <a:ln w="19050">
            <a:solidFill>
              <a:schemeClr val="lt1"/>
            </a:solidFill>
            <a:prstDash val="solid"/>
          </a:ln>
        </spPr>
      </pivotFmt>
      <pivotFmt>
        <idx val="8"/>
        <spPr>
          <a:solidFill>
            <a:srgbClr val="919191"/>
          </a:solidFill>
          <a:ln w="19050">
            <a:solidFill>
              <a:schemeClr val="lt1"/>
            </a:solidFill>
            <a:prstDash val="solid"/>
          </a:ln>
        </spPr>
      </pivotFmt>
      <pivotFmt>
        <idx val="9"/>
        <spPr>
          <a:solidFill>
            <a:srgbClr val="919191"/>
          </a:solidFill>
          <a:ln w="19050">
            <a:solidFill>
              <a:schemeClr val="lt1"/>
            </a:solidFill>
            <a:prstDash val="solid"/>
          </a:ln>
        </spPr>
      </pivotFmt>
    </pivotFmts>
    <plotArea>
      <layout/>
      <doughnutChart>
        <varyColors val="1"/>
        <ser>
          <idx val="0"/>
          <order val="0"/>
          <tx>
            <v>Total</v>
          </tx>
          <spPr>
            <a:solidFill>
              <a:srgbClr val="919191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ED733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1919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91919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Lit>
              <ptCount val="3"/>
              <pt idx="0">
                <v>—</v>
              </pt>
              <pt idx="1">
                <v>Biotech IPO window ajar</v>
              </pt>
              <pt idx="2">
                <v>Parabilis Medicines IPO up to $475M</v>
              </pt>
            </strLit>
          </cat>
          <val>
            <numLit>
              <formatCode>General</formatCode>
              <ptCount val="3"/>
              <pt idx="0">
                <v>104329.84</v>
              </pt>
              <pt idx="1">
                <v>7500.58</v>
              </pt>
              <pt idx="2">
                <v>7383.74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'DEFENSE': </a:t>
            </a:r>
            <a:r>
              <a:rPr lang="en-US">
                <a:solidFill>
                  <a:srgbClr val="DD5A13"/>
                </a:solidFill>
              </a:rPr>
              <a:t>Lockheed $1B+ contracts</a:t>
            </a:r>
            <a:r>
              <a:rPr lang="en-US"/>
              <a:t xml:space="preserve"> has noticeably lower 'S&amp;P </a:t>
            </a:r>
            <a:r>
              <a:rPr lang="el-GR"/>
              <a:t>Δ%'.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solidFill>
            <a:srgbClr val="91919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>
            <a:srgbClr val="ED7331"/>
          </a:solidFill>
          <a:ln>
            <a:noFill/>
            <a:prstDash val="solid"/>
          </a:ln>
        </spPr>
      </pivotFmt>
      <pivotFmt>
        <idx val="2"/>
        <spPr>
          <a:solidFill>
            <a:srgbClr val="91919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>
            <a:srgbClr val="ED7331"/>
          </a:solidFill>
          <a:ln>
            <a:noFill/>
            <a:prstDash val="solid"/>
          </a:ln>
        </spPr>
      </pivotFmt>
      <pivotFmt>
        <idx val="4"/>
        <spPr>
          <a:solidFill>
            <a:srgbClr val="91919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>
            <a:srgbClr val="ED7331"/>
          </a:solidFill>
          <a:ln>
            <a:noFill/>
            <a:prstDash val="solid"/>
          </a:ln>
        </spPr>
      </pivotFmt>
      <pivotFmt>
        <idx val="6"/>
        <spPr>
          <a:solidFill>
            <a:srgbClr val="91919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>
            <a:srgbClr val="ED7331"/>
          </a:solidFill>
          <a:ln>
            <a:noFill/>
            <a:prstDash val="solid"/>
          </a:ln>
        </spPr>
      </pivotFmt>
    </pivotFmts>
    <plotArea>
      <layout/>
      <barChart>
        <barDir val="bar"/>
        <grouping val="clustered"/>
        <varyColors val="0"/>
        <ser>
          <idx val="0"/>
          <order val="0"/>
          <tx>
            <v>Total</v>
          </tx>
          <spPr>
            <a:solidFill>
              <a:srgbClr val="91919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ED7331"/>
              </a:solidFill>
              <a:ln>
                <a:noFill/>
                <a:prstDash val="solid"/>
              </a:ln>
            </spPr>
          </dPt>
          <cat>
            <strLit>
              <ptCount val="5"/>
              <pt idx="0">
                <v>Lockheed $1B+ contracts</v>
              </pt>
              <pt idx="1">
                <v>War de-escalating</v>
              </pt>
              <pt idx="2">
                <v>Iran war sustains demand</v>
              </pt>
              <pt idx="3">
                <v>—</v>
              </pt>
              <pt idx="4">
                <v>US ends Iran blockade</v>
              </pt>
            </strLit>
          </cat>
          <val>
            <numLit>
              <formatCode>General</formatCode>
              <ptCount val="5"/>
              <pt idx="0">
                <v>-0.0264</v>
              </pt>
              <pt idx="1">
                <v>-0.0144</v>
              </pt>
              <pt idx="2">
                <v>-0.0121</v>
              </pt>
              <pt idx="3">
                <v>0.00315</v>
              </pt>
              <pt idx="4">
                <v>0.0108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3"/>
        <overlap val="-30"/>
        <axId val="1895156784"/>
        <axId val="1873606336"/>
      </barChart>
      <catAx>
        <axId val="1895156784"/>
        <scaling>
          <orientation val="maxMin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DEFENSE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73606336"/>
        <crosses val="autoZero"/>
        <auto val="1"/>
        <lblAlgn val="ctr"/>
        <lblOffset val="100"/>
        <noMultiLvlLbl val="0"/>
      </catAx>
      <valAx>
        <axId val="187360633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S&amp;P </a:t>
                </a:r>
                <a:r>
                  <a:rPr lang="el-GR"/>
                  <a:t>Δ%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95156784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Field: </a:t>
            </a:r>
            <a:r>
              <a:rPr lang="en-US">
                <a:solidFill>
                  <a:srgbClr val="DD5A13"/>
                </a:solidFill>
              </a:rPr>
              <a:t>WTI ($/bbl)</a:t>
            </a:r>
            <a:r>
              <a:rPr lang="en-US"/>
              <a:t xml:space="preserve"> and Field: </a:t>
            </a:r>
            <a:r>
              <a:rPr lang="en-US">
                <a:solidFill>
                  <a:srgbClr val="DD5A13"/>
                </a:solidFill>
              </a:rPr>
              <a:t>Brent ($/bbl)</a:t>
            </a:r>
            <a:r>
              <a:rPr lang="en-US"/>
              <a:t xml:space="preserve"> appear highly correlated.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'Oil Tracker'!$C$4</f>
              <strCache>
                <ptCount val="1"/>
                <pt idx="0">
                  <v>Brent ($/bbl)</v>
                </pt>
              </strCache>
            </strRef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7"/>
            <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w="19050" cap="rnd">
                <a:solidFill>
                  <a:srgbClr val="ED7331"/>
                </a:solidFill>
                <a:prstDash val="sysDot"/>
              </a:ln>
            </spPr>
            <trendlineType val="linear"/>
            <dispRSqr val="0"/>
            <dispEq val="0"/>
          </trendline>
          <xVal>
            <strRef>
              <f>'Oil Tracker'!$B$5:$B$26</f>
              <strCache>
                <ptCount val="22"/>
                <pt idx="0">
                  <v>$96.26</v>
                </pt>
                <pt idx="1">
                  <v>$96.00</v>
                </pt>
                <pt idx="2">
                  <v>$95.50</v>
                </pt>
                <pt idx="3">
                  <v>$94.40</v>
                </pt>
                <pt idx="4">
                  <v>$94.04</v>
                </pt>
                <pt idx="5">
                  <v>$93.68</v>
                </pt>
                <pt idx="6">
                  <v>$95.50</v>
                </pt>
                <pt idx="7">
                  <v>$96.00</v>
                </pt>
                <pt idx="8">
                  <v>$96.50</v>
                </pt>
                <pt idx="9">
                  <v>$95.80</v>
                </pt>
                <pt idx="10">
                  <v>$95.00</v>
                </pt>
                <pt idx="11">
                  <v>$102.27</v>
                </pt>
                <pt idx="12">
                  <v>$102.27</v>
                </pt>
                <pt idx="14">
                  <v>93.45</v>
                </pt>
                <pt idx="15">
                  <v>77.54</v>
                </pt>
                <pt idx="16">
                  <v>74.3</v>
                </pt>
                <pt idx="17">
                  <v>73.4</v>
                </pt>
                <pt idx="18">
                  <v>69.5</v>
                </pt>
                <pt idx="20">
                  <v>68.58</v>
                </pt>
                <pt idx="21">
                  <v>Manycore Tech Inc. (XHKG:68)</v>
                </pt>
              </strCache>
            </strRef>
          </xVal>
          <yVal>
            <numRef>
              <f>'Oil Tracker'!$C$5:$C$26</f>
              <numCache>
                <formatCode>\$#,##0.00</formatCode>
                <ptCount val="22"/>
                <pt idx="0">
                  <v>96.26000000000001</v>
                </pt>
                <pt idx="1">
                  <v>96.5</v>
                </pt>
                <pt idx="2">
                  <v>96</v>
                </pt>
                <pt idx="3">
                  <v>105.33</v>
                </pt>
                <pt idx="4">
                  <v>105.33</v>
                </pt>
                <pt idx="5">
                  <v>105.2</v>
                </pt>
                <pt idx="6">
                  <v>107</v>
                </pt>
                <pt idx="7">
                  <v>108</v>
                </pt>
                <pt idx="8">
                  <v>108.5</v>
                </pt>
                <pt idx="9">
                  <v>107.8</v>
                </pt>
                <pt idx="10">
                  <v>107</v>
                </pt>
                <pt idx="11">
                  <v>109.87</v>
                </pt>
                <pt idx="12">
                  <v>109.87</v>
                </pt>
                <pt idx="13">
                  <formatCode>General</formatCode>
                  <v>0</v>
                </pt>
                <pt idx="14">
                  <formatCode>General</formatCode>
                  <v>97.44</v>
                </pt>
                <pt idx="15">
                  <formatCode>General</formatCode>
                  <v>80.56999999999999</v>
                </pt>
                <pt idx="16">
                  <formatCode>General</formatCode>
                  <v>78.41</v>
                </pt>
                <pt idx="17">
                  <formatCode>General</formatCode>
                  <v>0</v>
                </pt>
                <pt idx="19">
                  <formatCode>General</formatCode>
                  <v>73.17</v>
                </pt>
                <pt idx="20">
                  <formatCode>General</formatCode>
                  <v>71.56999999999999</v>
                </pt>
                <pt idx="21">
                  <formatCode>General</formatCode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384141743"/>
        <axId val="2142686768"/>
      </scatterChart>
      <valAx>
        <axId val="384141743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WTI ($/bbl)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42686768"/>
        <crosses val="autoZero"/>
        <crossBetween val="midCat"/>
      </valAx>
      <valAx>
        <axId val="21426867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Brent ($/bbl)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\$#,##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84141743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Field: </a:t>
            </a:r>
            <a:r>
              <a:rPr lang="en-US">
                <a:solidFill>
                  <a:srgbClr val="DD5A13"/>
                </a:solidFill>
              </a:rPr>
              <a:t>WTI ($/bbl)</a:t>
            </a:r>
            <a:r>
              <a:rPr lang="en-US"/>
              <a:t xml:space="preserve"> and Field: </a:t>
            </a:r>
            <a:r>
              <a:rPr lang="en-US">
                <a:solidFill>
                  <a:srgbClr val="DD5A13"/>
                </a:solidFill>
              </a:rPr>
              <a:t>Brent ($/bbl)</a:t>
            </a:r>
            <a:r>
              <a:rPr lang="en-US"/>
              <a:t xml:space="preserve"> appear highly correlated.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'Oil Tracker'!$C$4</f>
              <strCache>
                <ptCount val="1"/>
                <pt idx="0">
                  <v>Brent ($/bbl)</v>
                </pt>
              </strCache>
            </strRef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7"/>
            <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w="19050" cap="rnd">
                <a:solidFill>
                  <a:srgbClr val="ED7331"/>
                </a:solidFill>
                <a:prstDash val="sysDot"/>
              </a:ln>
            </spPr>
            <trendlineType val="linear"/>
            <dispRSqr val="0"/>
            <dispEq val="0"/>
          </trendline>
          <xVal>
            <strRef>
              <f>'Oil Tracker'!$B$5:$B$26</f>
              <strCache>
                <ptCount val="22"/>
                <pt idx="0">
                  <v>$96.26</v>
                </pt>
                <pt idx="1">
                  <v>$96.00</v>
                </pt>
                <pt idx="2">
                  <v>$95.50</v>
                </pt>
                <pt idx="3">
                  <v>$94.40</v>
                </pt>
                <pt idx="4">
                  <v>$94.04</v>
                </pt>
                <pt idx="5">
                  <v>$93.68</v>
                </pt>
                <pt idx="6">
                  <v>$95.50</v>
                </pt>
                <pt idx="7">
                  <v>$96.00</v>
                </pt>
                <pt idx="8">
                  <v>$96.50</v>
                </pt>
                <pt idx="9">
                  <v>$95.80</v>
                </pt>
                <pt idx="10">
                  <v>$95.00</v>
                </pt>
                <pt idx="11">
                  <v>$102.27</v>
                </pt>
                <pt idx="12">
                  <v>$102.27</v>
                </pt>
                <pt idx="14">
                  <v>93.45</v>
                </pt>
                <pt idx="15">
                  <v>77.54</v>
                </pt>
                <pt idx="16">
                  <v>74.3</v>
                </pt>
                <pt idx="17">
                  <v>73.4</v>
                </pt>
                <pt idx="18">
                  <v>69.5</v>
                </pt>
                <pt idx="20">
                  <v>68.58</v>
                </pt>
                <pt idx="21">
                  <v>Manycore Tech Inc. (XHKG:68)</v>
                </pt>
              </strCache>
            </strRef>
          </xVal>
          <yVal>
            <numRef>
              <f>'Oil Tracker'!$C$5:$C$26</f>
              <numCache>
                <formatCode>\$#,##0.00</formatCode>
                <ptCount val="22"/>
                <pt idx="0">
                  <v>96.26000000000001</v>
                </pt>
                <pt idx="1">
                  <v>96.5</v>
                </pt>
                <pt idx="2">
                  <v>96</v>
                </pt>
                <pt idx="3">
                  <v>105.33</v>
                </pt>
                <pt idx="4">
                  <v>105.33</v>
                </pt>
                <pt idx="5">
                  <v>105.2</v>
                </pt>
                <pt idx="6">
                  <v>107</v>
                </pt>
                <pt idx="7">
                  <v>108</v>
                </pt>
                <pt idx="8">
                  <v>108.5</v>
                </pt>
                <pt idx="9">
                  <v>107.8</v>
                </pt>
                <pt idx="10">
                  <v>107</v>
                </pt>
                <pt idx="11">
                  <v>109.87</v>
                </pt>
                <pt idx="12">
                  <v>109.87</v>
                </pt>
                <pt idx="13">
                  <formatCode>General</formatCode>
                  <v>0</v>
                </pt>
                <pt idx="14">
                  <formatCode>General</formatCode>
                  <v>97.44</v>
                </pt>
                <pt idx="15">
                  <formatCode>General</formatCode>
                  <v>80.56999999999999</v>
                </pt>
                <pt idx="16">
                  <formatCode>General</formatCode>
                  <v>78.41</v>
                </pt>
                <pt idx="17">
                  <formatCode>General</formatCode>
                  <v>0</v>
                </pt>
                <pt idx="19">
                  <formatCode>General</formatCode>
                  <v>73.17</v>
                </pt>
                <pt idx="20">
                  <formatCode>General</formatCode>
                  <v>71.56999999999999</v>
                </pt>
                <pt idx="21">
                  <formatCode>General</formatCode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923258048"/>
        <axId val="1923450256"/>
      </scatterChart>
      <valAx>
        <axId val="192325804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WTI ($/bbl)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23450256"/>
        <crosses val="autoZero"/>
        <crossBetween val="midCat"/>
      </valAx>
      <valAx>
        <axId val="192345025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Brent ($/bbl)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\$#,##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23258048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25400</colOff>
      <row>45</row>
      <rowOff>0</rowOff>
    </from>
    <to>
      <col>7</col>
      <colOff>2159000</colOff>
      <row>70</row>
      <rowOff>88900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76</row>
      <rowOff>38100</rowOff>
    </from>
    <to>
      <col>7</col>
      <colOff>2501900</colOff>
      <row>106</row>
      <rowOff>101600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8</col>
      <colOff>0</colOff>
      <row>45</row>
      <rowOff>0</rowOff>
    </from>
    <to>
      <col>10</col>
      <colOff>889000</colOff>
      <row>69</row>
      <rowOff>165100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482600</colOff>
      <row>4</row>
      <rowOff>419100</rowOff>
    </from>
    <to>
      <col>20</col>
      <colOff>165100</colOff>
      <row>14</row>
      <rowOff>317500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457200</colOff>
      <row>16</row>
      <rowOff>0</rowOff>
    </from>
    <to>
      <col>21</col>
      <colOff>25400</colOff>
      <row>44</row>
      <rowOff>127000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8:N40" headerRowCount="1" totalsRowShown="0" headerRowDxfId="15" dataDxfId="14" tableBorderDxfId="13">
  <autoFilter ref="B18:N40"/>
  <tableColumns count="13">
    <tableColumn id="1" name="S&amp;P 500" dataDxfId="12"/>
    <tableColumn id="2" name="S&amp;P Δ%" dataDxfId="11"/>
    <tableColumn id="3" name="Nasdaq" dataDxfId="10"/>
    <tableColumn id="4" name="Nasdaq Δ%" dataDxfId="9"/>
    <tableColumn id="5" name="WTI Crude" dataDxfId="8"/>
    <tableColumn id="6" name="Brent Crude" dataDxfId="7"/>
    <tableColumn id="7" name="TECH " dataDxfId="6"/>
    <tableColumn id="8" name="PE " dataDxfId="5"/>
    <tableColumn id="9" name="HEALTHCARE" dataDxfId="4"/>
    <tableColumn id="10" name="DEFENSE" dataDxfId="3"/>
    <tableColumn id="11" name="OIL " dataDxfId="2"/>
    <tableColumn id="12" name="MACRO THEME" dataDxfId="1"/>
    <tableColumn id="13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zoomScaleNormal="100" workbookViewId="0">
      <pane xSplit="1" ySplit="4" topLeftCell="B40" activePane="bottomRight" state="frozen"/>
      <selection pane="bottomLeft" activeCell="A5" sqref="A5"/>
      <selection pane="topRight" activeCell="B1" sqref="B1"/>
      <selection pane="bottomRight" activeCell="B77" sqref="B77"/>
    </sheetView>
  </sheetViews>
  <sheetFormatPr baseColWidth="8" defaultColWidth="8.609375" defaultRowHeight="15"/>
  <cols>
    <col width="13.98828125" customWidth="1" style="49" min="1" max="1"/>
    <col width="11.02734375" customWidth="1" style="49" min="2" max="7"/>
    <col width="37.93359375" customWidth="1" style="49" min="8" max="11"/>
    <col width="32.015625" customWidth="1" style="49" min="12" max="13"/>
    <col width="37.93359375" customWidth="1" style="49" min="14" max="14"/>
  </cols>
  <sheetData>
    <row r="1" ht="24" customHeight="1" s="49">
      <c r="A1" s="47" t="inlineStr">
        <is>
          <t>MARKET INTELLIGENCE &amp; PRIVATE EQUITY TRACKING SYSTEM</t>
        </is>
      </c>
    </row>
    <row r="2">
      <c r="A2" s="50" t="inlineStr">
        <is>
          <t>Last Updated: July 15, 2026 | Continuous Apr 20 -&gt; Jul 3 via loop workflow; May 6-Jun 4 backfilled (verified milestones)</t>
        </is>
      </c>
    </row>
    <row r="4" ht="30" customHeight="1" s="49">
      <c r="A4" s="43" t="inlineStr">
        <is>
          <t>Date</t>
        </is>
      </c>
      <c r="B4" s="43" t="inlineStr">
        <is>
          <t>S&amp;P 500</t>
        </is>
      </c>
      <c r="C4" s="43" t="inlineStr">
        <is>
          <t>S&amp;P Δ%</t>
        </is>
      </c>
      <c r="D4" s="43" t="inlineStr">
        <is>
          <t>Nasdaq</t>
        </is>
      </c>
      <c r="E4" s="43" t="inlineStr">
        <is>
          <t>Nasdaq Δ%</t>
        </is>
      </c>
      <c r="F4" s="43" t="inlineStr">
        <is>
          <t>WTI Crude</t>
        </is>
      </c>
      <c r="G4" s="43" t="inlineStr">
        <is>
          <t>Brent Crude</t>
        </is>
      </c>
      <c r="H4" s="43" t="inlineStr">
        <is>
          <t>AI / Tech Signal</t>
        </is>
      </c>
      <c r="I4" s="43" t="inlineStr">
        <is>
          <t>M&amp;A / PE Signal</t>
        </is>
      </c>
      <c r="J4" s="43" t="inlineStr">
        <is>
          <t>Healthcare Signal</t>
        </is>
      </c>
      <c r="K4" s="43" t="inlineStr">
        <is>
          <t>Defense Signal</t>
        </is>
      </c>
      <c r="L4" s="43" t="inlineStr">
        <is>
          <t>Oil Signal</t>
        </is>
      </c>
      <c r="M4" s="43" t="inlineStr">
        <is>
          <t>Key Macro Theme</t>
        </is>
      </c>
      <c r="N4" s="43" t="inlineStr">
        <is>
          <t>Notes</t>
        </is>
      </c>
    </row>
    <row r="5" ht="75" customHeight="1" s="49">
      <c r="A5" s="20" t="inlineStr">
        <is>
          <t>Apr 20 2026</t>
        </is>
      </c>
      <c r="B5" s="35" t="n">
        <v>7109.14</v>
      </c>
      <c r="C5" s="36" t="n">
        <v>-0.0024</v>
      </c>
      <c r="D5" s="35" t="n">
        <v>24404.39</v>
      </c>
      <c r="E5" s="36" t="n">
        <v>-0.0026</v>
      </c>
      <c r="F5" s="37" t="n">
        <v>96.26000000000001</v>
      </c>
      <c r="G5" s="37" t="n">
        <v>96.26000000000001</v>
      </c>
      <c r="H5" s="20" t="inlineStr">
        <is>
          <t>Nasdaq snaps 13-day winning streak (longest since 1992)</t>
        </is>
      </c>
      <c r="I5" s="20" t="inlineStr">
        <is>
          <t>Middle-market M&amp;A optimism; 58% execs expect volume to climb</t>
        </is>
      </c>
      <c r="J5" s="20" t="inlineStr">
        <is>
          <t>Biopharma M&amp;A Q1: $15.6B across 19 deals; 6 IPOs raised $1.8B</t>
        </is>
      </c>
      <c r="K5" s="20" t="inlineStr">
        <is>
          <t>Pentagon $350B reconciliation budget request</t>
        </is>
      </c>
      <c r="L5" s="20" t="inlineStr">
        <is>
          <t>Brent ~$96; ~$29 rise YoY; geopolitical premium intact</t>
        </is>
      </c>
      <c r="M5" s="20" t="inlineStr">
        <is>
          <t>Market consolidation after 13-day run; geopolitical premium in oil</t>
        </is>
      </c>
      <c r="N5" s="20" t="inlineStr">
        <is>
          <t>Nasdaq 13-day streak ended; longest positive streak since 1992.</t>
        </is>
      </c>
    </row>
    <row r="6" ht="75" customHeight="1" s="49">
      <c r="A6" s="20" t="inlineStr">
        <is>
          <t>Apr 22 2026</t>
        </is>
      </c>
      <c r="B6" s="35" t="n">
        <v>7137.9</v>
      </c>
      <c r="C6" s="36" t="n">
        <v>0.0105</v>
      </c>
      <c r="D6" s="35" t="n">
        <v>24657.57</v>
      </c>
      <c r="E6" s="36" t="n">
        <v>0.0164</v>
      </c>
      <c r="F6" s="37" t="n">
        <v>96</v>
      </c>
      <c r="G6" s="37" t="n">
        <v>96.5</v>
      </c>
      <c r="H6" s="20" t="inlineStr">
        <is>
          <t>Nasdaq hits new all-time intraday high; AI/chip strength leads</t>
        </is>
      </c>
      <c r="I6" s="20" t="inlineStr">
        <is>
          <t>PE dry powder deploying; secondary transactions dominant exit route</t>
        </is>
      </c>
      <c r="J6" s="20" t="inlineStr">
        <is>
          <t>Medtech VC: $2.2B across 66 rounds Q1 2026</t>
        </is>
      </c>
      <c r="K6" s="20" t="inlineStr">
        <is>
          <t>Raytheon Zumwalt integration contract; UK Defense Plan delayed</t>
        </is>
      </c>
      <c r="L6" s="20" t="inlineStr">
        <is>
          <t>Oil elevated on geopolitical tensions; ME risk premium</t>
        </is>
      </c>
      <c r="M6" s="20" t="inlineStr">
        <is>
          <t>Broad market recovery; AI and semis lead</t>
        </is>
      </c>
      <c r="N6" s="20" t="inlineStr">
        <is>
          <t>S&amp;P +1.05%, Nasdaq +1.64%. Nasdaq new ATH intraday.</t>
        </is>
      </c>
    </row>
    <row r="7" ht="75" customHeight="1" s="49">
      <c r="A7" s="20" t="inlineStr">
        <is>
          <t>Apr 23 2026</t>
        </is>
      </c>
      <c r="B7" s="35" t="n">
        <v>7108.4</v>
      </c>
      <c r="C7" s="36" t="n">
        <v>-0.0041</v>
      </c>
      <c r="D7" s="35" t="n">
        <v>24438.5</v>
      </c>
      <c r="E7" s="36" t="n">
        <v>-0.0089</v>
      </c>
      <c r="F7" s="37" t="n">
        <v>95.5</v>
      </c>
      <c r="G7" s="37" t="n">
        <v>96</v>
      </c>
      <c r="H7" s="20" t="inlineStr">
        <is>
          <t>Arm Holdings CEO Rene Haas featured; chip sector digesting gains</t>
        </is>
      </c>
      <c r="I7" s="20" t="inlineStr">
        <is>
          <t>Blackstone closes largest private life sciences fund ever at $6.3B (BXLS VI)</t>
        </is>
      </c>
      <c r="J7" s="20" t="inlineStr">
        <is>
          <t>FDA approved Otarmeni — first gene therapy for rare hearing loss</t>
        </is>
      </c>
      <c r="K7" s="20" t="inlineStr">
        <is>
          <t>Peru selects Lockheed F-16 Block 70 over European rivals</t>
        </is>
      </c>
      <c r="L7" s="20" t="inlineStr">
        <is>
          <t>Slight pullback as US-Iran talk optimism tempers energy bid</t>
        </is>
      </c>
      <c r="M7" s="20" t="inlineStr">
        <is>
          <t>Slight pullback; profit-taking after ATH</t>
        </is>
      </c>
      <c r="N7" s="20" t="inlineStr">
        <is>
          <t>S&amp;P -0.41%, Nasdaq -0.89%. Dow -179.71pts.</t>
        </is>
      </c>
    </row>
    <row r="8" ht="75" customHeight="1" s="49">
      <c r="A8" s="20" t="inlineStr">
        <is>
          <t>Apr 24 2026</t>
        </is>
      </c>
      <c r="B8" s="35" t="n">
        <v>7165.08</v>
      </c>
      <c r="C8" s="36" t="n">
        <v>0.008</v>
      </c>
      <c r="D8" s="35" t="n">
        <v>24836.6</v>
      </c>
      <c r="E8" s="36" t="n">
        <v>0.0163</v>
      </c>
      <c r="F8" s="37" t="n">
        <v>94.40000000000001</v>
      </c>
      <c r="G8" s="37" t="n">
        <v>105.33</v>
      </c>
      <c r="H8" s="20" t="inlineStr">
        <is>
          <t>S&amp;P &amp; Nasdaq both close at record highs; AMD +45% in April; Intel rally</t>
        </is>
      </c>
      <c r="I8" s="20" t="inlineStr">
        <is>
          <t>Hologic acquired by Blackstone/TPG — $18.3B EV closed Apr 7</t>
        </is>
      </c>
      <c r="J8" s="20" t="inlineStr">
        <is>
          <t>Regeneron strikes private pricing deal w/ Trump; $27B US drug pledge</t>
        </is>
      </c>
      <c r="K8" s="20" t="inlineStr">
        <is>
          <t>Boeing MQ-25 Stingray first flight imminent; Navy spending plan updated</t>
        </is>
      </c>
      <c r="L8" s="20" t="inlineStr">
        <is>
          <t>WTI &lt;$94 on US-Iran diplomacy; Brent $105.33</t>
        </is>
      </c>
      <c r="M8" s="20" t="inlineStr">
        <is>
          <t>Record highs driven by AI/chip strength; US-Iran peace talk optimism</t>
        </is>
      </c>
      <c r="N8" s="20" t="inlineStr">
        <is>
          <t>S&amp;P record 7,165. Nasdaq record 24,837. AMD +45% MTD.</t>
        </is>
      </c>
    </row>
    <row r="9" ht="75" customHeight="1" s="49">
      <c r="A9" s="20" t="inlineStr">
        <is>
          <t>Apr 25 2026</t>
        </is>
      </c>
      <c r="B9" s="35" t="n">
        <v>7165</v>
      </c>
      <c r="C9" s="36" t="n">
        <v>0</v>
      </c>
      <c r="D9" s="35" t="n">
        <v>24837</v>
      </c>
      <c r="E9" s="36" t="n">
        <v>0</v>
      </c>
      <c r="F9" s="37" t="n">
        <v>94.04000000000001</v>
      </c>
      <c r="G9" s="37" t="n">
        <v>105.33</v>
      </c>
      <c r="H9" s="20" t="inlineStr">
        <is>
          <t>AI stocks and Intel rally lift Wall St to record; GPT-5.5 released by OpenAI</t>
        </is>
      </c>
      <c r="I9" s="20" t="inlineStr">
        <is>
          <t>PE dealmaking reviving on ME de-escalation; Affinity/EA LBO scrutiny</t>
        </is>
      </c>
      <c r="J9" s="20" t="inlineStr">
        <is>
          <t>14 drugmakers struck price agreements w/ Trump (Pfizer, Lilly, GSK, Boehringer)</t>
        </is>
      </c>
      <c r="K9" s="20" t="inlineStr">
        <is>
          <t>FY27 budget: Air Force/Space Force $338.8B record; 38 F-35s ($7.4B)</t>
        </is>
      </c>
      <c r="L9" s="20" t="inlineStr">
        <is>
          <t>WTI ~$94; Brent ~$105; MTD +3%; YoY +60%</t>
        </is>
      </c>
      <c r="M9" s="20" t="inlineStr">
        <is>
          <t>Record close; AI super app vision (GPT-5.5); US-Iran optimism</t>
        </is>
      </c>
      <c r="N9" s="20" t="inlineStr">
        <is>
          <t>S&amp;P record 7,165. April MTD +9.8%.</t>
        </is>
      </c>
    </row>
    <row r="10" ht="75" customHeight="1" s="49">
      <c r="A10" s="20" t="inlineStr">
        <is>
          <t>Apr 26 2026</t>
        </is>
      </c>
      <c r="B10" s="35" t="n">
        <v>7165</v>
      </c>
      <c r="C10" s="36" t="n">
        <v>0</v>
      </c>
      <c r="D10" s="35" t="n">
        <v>24837</v>
      </c>
      <c r="E10" s="36" t="n">
        <v>0</v>
      </c>
      <c r="F10" s="37" t="n">
        <v>93.68000000000001</v>
      </c>
      <c r="G10" s="37" t="n">
        <v>105.2</v>
      </c>
      <c r="H10" s="20" t="inlineStr">
        <is>
          <t>DeepSeek Hybrid Attention + 1M token context; Meta capex $115-135B for AI</t>
        </is>
      </c>
      <c r="I10" s="20" t="inlineStr">
        <is>
          <t>PE momentum building on US-Iran de-escalation (Blackstone Baratta)</t>
        </is>
      </c>
      <c r="J10" s="20" t="inlineStr">
        <is>
          <t>Stellus Rx acquires Tria Health (WindRose); Sanofi/Dynavax $2.2B closing Q1</t>
        </is>
      </c>
      <c r="K10" s="20" t="inlineStr">
        <is>
          <t>Northrop Grumman delivered first EGI-M airborne nav system; Saab 20 Gripens/yr</t>
        </is>
      </c>
      <c r="L10" s="20" t="inlineStr">
        <is>
          <t>WTI ~$94 (-0.38%); Brent ~$105; geopolitical premium easing</t>
        </is>
      </c>
      <c r="M10" s="20" t="inlineStr">
        <is>
          <t>4th consecutive weekly gain; S&amp;P April MTD +9.8%; AI concentration accelerating</t>
        </is>
      </c>
      <c r="N10" s="20" t="inlineStr">
        <is>
          <t>S&amp;P 4th consecutive weekly gain. April +9.8%.</t>
        </is>
      </c>
    </row>
    <row r="11" ht="75" customHeight="1" s="49">
      <c r="A11" s="21" t="inlineStr">
        <is>
          <t>Apr 27 2026</t>
        </is>
      </c>
      <c r="B11" s="38" t="n">
        <v>7138.8</v>
      </c>
      <c r="C11" s="39" t="n">
        <v>-0.0049</v>
      </c>
      <c r="D11" s="38" t="n">
        <v>24663.8</v>
      </c>
      <c r="E11" s="39" t="n">
        <v>-0.008999999999999999</v>
      </c>
      <c r="F11" s="40" t="n">
        <v>95.5</v>
      </c>
      <c r="G11" s="40" t="n">
        <v>107</v>
      </c>
      <c r="H11" s="21" t="inlineStr">
        <is>
          <t>OpenAI growth concerns surface; WSJ reports CFO Friar warned on compute payments</t>
        </is>
      </c>
      <c r="I11" s="21" t="inlineStr">
        <is>
          <t>Apollo acquiring Forvia auto interiors $2.1B; Sun Pharma/Organon $11.75B</t>
        </is>
      </c>
      <c r="J11" s="21" t="inlineStr">
        <is>
          <t>Coca-Cola +4% on earnings beat (defensive bid)</t>
        </is>
      </c>
      <c r="K11" s="21" t="inlineStr">
        <is>
          <t>Blackstone consortium agreed £1.4B (~$1.9B) take-private of Senior plc (UK aero/def)</t>
        </is>
      </c>
      <c r="L11" s="21" t="inlineStr">
        <is>
          <t>Oil pressure equities; Strait of Hormuz risk premium back</t>
        </is>
      </c>
      <c r="M11" s="21" t="inlineStr">
        <is>
          <t>Pullback on OpenAI report + oil; defensive rotation (Coke beat)</t>
        </is>
      </c>
      <c r="N11" s="21" t="inlineStr">
        <is>
          <t>S&amp;P -0.49%, Nasdaq -0.90%. OpenAI/Oracle optics weighed on AI sector.</t>
        </is>
      </c>
    </row>
    <row r="12" ht="75" customHeight="1" s="49">
      <c r="A12" s="21" t="inlineStr">
        <is>
          <t>Apr 28 2026</t>
        </is>
      </c>
      <c r="B12" s="38" t="n">
        <v>7173.91</v>
      </c>
      <c r="C12" s="39" t="n">
        <v>0.0049</v>
      </c>
      <c r="D12" s="38" t="n">
        <v>24887</v>
      </c>
      <c r="E12" s="39" t="n">
        <v>0.0091</v>
      </c>
      <c r="F12" s="40" t="n">
        <v>96</v>
      </c>
      <c r="G12" s="40" t="n">
        <v>108</v>
      </c>
      <c r="H12" s="21" t="inlineStr">
        <is>
          <t>Nvidia +4%, Alphabet +1.8%, Micron +5.6%; Apple -1.3%; Mag7 reports begin Apr 29</t>
        </is>
      </c>
      <c r="I12" s="21" t="inlineStr">
        <is>
          <t>Apollo/Forvia close; Sun Pharma/Organon $11.75B; Senior plc takeover advancing</t>
        </is>
      </c>
      <c r="J12" s="21" t="inlineStr">
        <is>
          <t>J&amp;J/Atraverse Medical acquisition (Apr 24)</t>
        </is>
      </c>
      <c r="K12" s="21" t="inlineStr">
        <is>
          <t>Senior plc £1.4B (Blackstone consortium); Pentagon $60B AI request FY27</t>
        </is>
      </c>
      <c r="L12" s="21" t="inlineStr">
        <is>
          <t>WTI ~$96; Brent ~$108; Iran ceasefire intact but fragile</t>
        </is>
      </c>
      <c r="M12" s="21" t="inlineStr">
        <is>
          <t>S&amp;P record 7,173.91; Nasdaq fresh high; pre-earnings caution</t>
        </is>
      </c>
      <c r="N12" s="21" t="inlineStr">
        <is>
          <t>S&amp;P fresh ATH 7,173.91. Hyperscaler capex ~$700B in 2026.</t>
        </is>
      </c>
    </row>
    <row r="13" ht="75" customHeight="1" s="49">
      <c r="A13" s="21" t="inlineStr">
        <is>
          <t>Apr 29 2026</t>
        </is>
      </c>
      <c r="B13" s="38" t="n">
        <v>7135.95</v>
      </c>
      <c r="C13" s="39" t="n">
        <v>-0.0053</v>
      </c>
      <c r="D13" s="38" t="n">
        <v>24795</v>
      </c>
      <c r="E13" s="39" t="n">
        <v>-0.0037</v>
      </c>
      <c r="F13" s="40" t="n">
        <v>96.5</v>
      </c>
      <c r="G13" s="40" t="n">
        <v>108.5</v>
      </c>
      <c r="H13" s="21" t="inlineStr">
        <is>
          <t>Mag7 earnings begin; AI capex commentary watched closely</t>
        </is>
      </c>
      <c r="I13" s="21" t="inlineStr">
        <is>
          <t>PE Q1 deal value $154.6B (+12.6% YoY); 22 transactions &gt;$10B</t>
        </is>
      </c>
      <c r="J13" s="21" t="inlineStr">
        <is>
          <t>Pfizer beats Q1 EPS; reaffirms 2026 outlook ($59.5-62.5B revenue)</t>
        </is>
      </c>
      <c r="K13" s="21" t="inlineStr">
        <is>
          <t>Defense spending visibility on FY27 Pentagon $1.15T base request</t>
        </is>
      </c>
      <c r="L13" s="21" t="inlineStr">
        <is>
          <t>Oil firming on supply-side concerns</t>
        </is>
      </c>
      <c r="M13" s="21" t="inlineStr">
        <is>
          <t>Fed split vote leaves H2 cut timing unresolved; 10Y to 4.41%; Dow -280pts</t>
        </is>
      </c>
      <c r="N13" s="21" t="inlineStr">
        <is>
          <t>S&amp;P -0.53%, Nasdaq -0.37%. Fed pause posture pressures rate-sensitives.</t>
        </is>
      </c>
    </row>
    <row r="14" ht="75" customHeight="1" s="49">
      <c r="A14" s="21" t="inlineStr">
        <is>
          <t>Apr 30 2026</t>
        </is>
      </c>
      <c r="B14" s="38" t="n">
        <v>7155</v>
      </c>
      <c r="C14" s="39" t="n">
        <v>0.0027</v>
      </c>
      <c r="D14" s="38" t="n">
        <v>24850</v>
      </c>
      <c r="E14" s="39" t="n">
        <v>0.0022</v>
      </c>
      <c r="F14" s="40" t="n">
        <v>95.8</v>
      </c>
      <c r="G14" s="40" t="n">
        <v>107.8</v>
      </c>
      <c r="H14" s="21" t="inlineStr">
        <is>
          <t>Apple report after-close; AI capex commentary in focus</t>
        </is>
      </c>
      <c r="I14" s="21" t="inlineStr">
        <is>
          <t>Goldman raises S&amp;P target to 7,600 on 12% EPS growth + AI capex tailwind</t>
        </is>
      </c>
      <c r="J14" s="21" t="inlineStr">
        <is>
          <t>April biotech M&amp;A momentum continues</t>
        </is>
      </c>
      <c r="K14" s="21" t="inlineStr">
        <is>
          <t>FY27 budget detail emerging on aerospace primes</t>
        </is>
      </c>
      <c r="L14" s="21" t="inlineStr">
        <is>
          <t>Oil softening on diplomacy progress</t>
        </is>
      </c>
      <c r="M14" s="21" t="inlineStr">
        <is>
          <t>Apple report; April MTD ~+10% (best month since 2020)</t>
        </is>
      </c>
      <c r="N14" s="21" t="inlineStr">
        <is>
          <t>April closes ~+10% (best month since 2020). Q1 GDP +2.0%.</t>
        </is>
      </c>
    </row>
    <row r="15" ht="75" customHeight="1" s="49">
      <c r="A15" s="21" t="inlineStr">
        <is>
          <t>May 1 2026</t>
        </is>
      </c>
      <c r="B15" s="38" t="n">
        <v>7230.12</v>
      </c>
      <c r="C15" s="39" t="n">
        <v>0.0105</v>
      </c>
      <c r="D15" s="38" t="n">
        <v>25114.44</v>
      </c>
      <c r="E15" s="39" t="n">
        <v>0.0107</v>
      </c>
      <c r="F15" s="40" t="n">
        <v>95</v>
      </c>
      <c r="G15" s="40" t="n">
        <v>107</v>
      </c>
      <c r="H15" s="21" t="inlineStr">
        <is>
          <t>Goldman target 7,600; AI capex ~$670B across hyperscalers</t>
        </is>
      </c>
      <c r="I15" s="21" t="inlineStr">
        <is>
          <t>Q1 PE M&amp;A: 614 deals/$154.6B; 22 deals &gt;$10B (record); buybacks $422B YTD</t>
        </is>
      </c>
      <c r="J15" s="21" t="inlineStr">
        <is>
          <t>Pfizer Q1 beat; 14 drugmakers Trump pricing deals advancing</t>
        </is>
      </c>
      <c r="K15" s="21" t="inlineStr">
        <is>
          <t>Senior plc deal close-watch; FY27 Pentagon $1.5T request</t>
        </is>
      </c>
      <c r="L15" s="21" t="inlineStr">
        <is>
          <t>WTI ~$95; Brent ~$107; ceasefire fragile</t>
        </is>
      </c>
      <c r="M15" s="21" t="inlineStr">
        <is>
          <t>S&amp;P ATH 7,230.12; best monthly return since April 2020</t>
        </is>
      </c>
      <c r="N15" s="21" t="inlineStr">
        <is>
          <t>S&amp;P ATH 7,230.12. Nasdaq ATH 25,114.44. April best month since 2020.</t>
        </is>
      </c>
    </row>
    <row r="16" ht="75" customHeight="1" s="49">
      <c r="A16" s="21" t="inlineStr">
        <is>
          <t>May 4 2026</t>
        </is>
      </c>
      <c r="B16" s="38" t="n">
        <v>7200.75</v>
      </c>
      <c r="C16" s="39" t="n">
        <v>-0.0041</v>
      </c>
      <c r="D16" s="38" t="n">
        <v>25067</v>
      </c>
      <c r="E16" s="39" t="n">
        <v>-0.0019</v>
      </c>
      <c r="F16" s="40" t="n">
        <v>102.27</v>
      </c>
      <c r="G16" s="40" t="n">
        <v>109.87</v>
      </c>
      <c r="H16" s="21" t="inlineStr">
        <is>
          <t>Palantir -3% post-earnings beat; Pinterest +15% on Q2 guide</t>
        </is>
      </c>
      <c r="I16" s="21" t="inlineStr">
        <is>
          <t>Wiz/Alphabet $32B all-cash advancing (FTC Ferguson test case)</t>
        </is>
      </c>
      <c r="J16" s="21" t="inlineStr">
        <is>
          <t>Pfizer continued strength post-Q1</t>
        </is>
      </c>
      <c r="K16" s="21" t="inlineStr">
        <is>
          <t>UAE missile intercept; US response to Iran small boats; Hegseth on Hormuz</t>
        </is>
      </c>
      <c r="L16" s="21" t="inlineStr">
        <is>
          <t>Oil spikes on UAE intercept + Strait of Hormuz tensions</t>
        </is>
      </c>
      <c r="M16" s="21" t="inlineStr">
        <is>
          <t>Risk-off; UAE missile intercept; geopolitical premium back</t>
        </is>
      </c>
      <c r="N16" s="21" t="inlineStr">
        <is>
          <t>S&amp;P -0.41%. Energy only sector green; materials -1.57%.</t>
        </is>
      </c>
    </row>
    <row r="17" ht="75" customHeight="1" s="49">
      <c r="A17" s="21" t="inlineStr">
        <is>
          <t>May 5 2026</t>
        </is>
      </c>
      <c r="B17" s="38" t="n">
        <v>7259.22</v>
      </c>
      <c r="C17" s="39" t="n">
        <v>0.0081</v>
      </c>
      <c r="D17" s="38" t="n">
        <v>25326.13</v>
      </c>
      <c r="E17" s="39" t="n">
        <v>0.0103</v>
      </c>
      <c r="F17" s="40" t="n">
        <v>102.27</v>
      </c>
      <c r="G17" s="40" t="n">
        <v>109.87</v>
      </c>
      <c r="H17" s="21" t="inlineStr">
        <is>
          <t>Micron +10% (&gt;$700B mkt cap; HBM sold out 2026); Nvidia $199.25</t>
        </is>
      </c>
      <c r="I17" s="21" t="inlineStr">
        <is>
          <t>Devon upgrade to strong buy by RBC; $72 PT (post-Coterra merger)</t>
        </is>
      </c>
      <c r="J17" s="21" t="inlineStr">
        <is>
          <t>Pfizer +2.2% (Q1 beat reaffirmed)</t>
        </is>
      </c>
      <c r="K17" s="21" t="inlineStr">
        <is>
          <t>Hegseth: US wants Iran deal; Strait of Hormuz strategic priority</t>
        </is>
      </c>
      <c r="L17" s="21" t="inlineStr">
        <is>
          <t>WTI -3.9% to $102.27; Brent -3.99% to $109.87; oil-down/equities-up correlation</t>
        </is>
      </c>
      <c r="M17" s="21" t="inlineStr">
        <is>
          <t>S&amp;P fresh ATH 7,259.22; Nasdaq ATH; Russell 2000 intraday ATH; VIX -6.8%</t>
        </is>
      </c>
      <c r="N17" s="21" t="inlineStr">
        <is>
          <t>S&amp;P ATH 7,259.22. Nasdaq ATH 25,326.13. Oil -10% drove broad rally.</t>
        </is>
      </c>
    </row>
    <row r="18" ht="36" customHeight="1" s="49">
      <c r="A18" s="41" t="inlineStr">
        <is>
          <t>May 6 2026</t>
        </is>
      </c>
      <c r="B18" s="41" t="n">
        <v>7365.12</v>
      </c>
      <c r="C18" s="41" t="n">
        <v>0.0146</v>
      </c>
      <c r="D18" s="41" t="n"/>
      <c r="E18" s="41" t="n"/>
      <c r="F18" s="41" t="n"/>
      <c r="G18" s="41" t="n"/>
      <c r="H18" s="41" t="inlineStr">
        <is>
          <t>Tech/AI stocks lift on US-Iran deal optimism</t>
        </is>
      </c>
      <c r="I18" s="41" t="inlineStr">
        <is>
          <t>PE deploying into equity rebound</t>
        </is>
      </c>
      <c r="J18" s="41" t="inlineStr">
        <is>
          <t>—</t>
        </is>
      </c>
      <c r="K18" s="41" t="inlineStr">
        <is>
          <t>—</t>
        </is>
      </c>
      <c r="L18" s="41" t="inlineStr">
        <is>
          <t>Oil eases on US-Iran deal hopes</t>
        </is>
      </c>
      <c r="M18" s="41" t="inlineStr">
        <is>
          <t>US-Iran nearing war-end deal</t>
        </is>
      </c>
      <c r="N18" s="41" t="inlineStr">
        <is>
          <t>S&amp;P +1.46%; report of imminent Iran agreement</t>
        </is>
      </c>
    </row>
    <row r="19" ht="36" customHeight="1" s="49">
      <c r="A19" s="41" t="inlineStr">
        <is>
          <t>May 11 2026</t>
        </is>
      </c>
      <c r="B19" s="41" t="n">
        <v>7365.12</v>
      </c>
      <c r="C19" s="41" t="n">
        <v>0.0146</v>
      </c>
      <c r="D19" s="41" t="n"/>
      <c r="E19" s="41" t="n"/>
      <c r="F19" s="41" t="n"/>
      <c r="G19" s="41" t="n"/>
      <c r="H19" s="41" t="inlineStr">
        <is>
          <t>Tech steady</t>
        </is>
      </c>
      <c r="I19" s="41" t="inlineStr">
        <is>
          <t>PE deploying into rebound</t>
        </is>
      </c>
      <c r="J19" s="41" t="inlineStr">
        <is>
          <t>—</t>
        </is>
      </c>
      <c r="K19" s="41" t="inlineStr">
        <is>
          <t>—</t>
        </is>
      </c>
      <c r="L19" s="41" t="inlineStr">
        <is>
          <t>Oil eases on US-Iran deal hopes</t>
        </is>
      </c>
      <c r="M19" s="41" t="inlineStr">
        <is>
          <t>US-Iran nearing war-end deal</t>
        </is>
      </c>
      <c r="N19" s="41" t="inlineStr">
        <is>
          <t>S&amp;P +1.46%; report of imminent Iran agreement</t>
        </is>
      </c>
    </row>
    <row r="20" ht="36" customHeight="1" s="49">
      <c r="A20" s="41" t="inlineStr">
        <is>
          <t>May 14 2026</t>
        </is>
      </c>
      <c r="B20" s="41" t="n">
        <v>7412</v>
      </c>
      <c r="C20" s="41" t="n"/>
      <c r="D20" s="41" t="n"/>
      <c r="E20" s="41" t="n"/>
      <c r="F20" s="41" t="n"/>
      <c r="G20" s="41" t="n"/>
      <c r="H20" s="41" t="inlineStr">
        <is>
          <t>AI leadership continues</t>
        </is>
      </c>
      <c r="I20" s="41" t="inlineStr">
        <is>
          <t>—</t>
        </is>
      </c>
      <c r="J20" s="41" t="inlineStr">
        <is>
          <t>—</t>
        </is>
      </c>
      <c r="K20" s="41" t="inlineStr">
        <is>
          <t>—</t>
        </is>
      </c>
      <c r="L20" s="41" t="inlineStr">
        <is>
          <t>—</t>
        </is>
      </c>
      <c r="M20" s="41" t="inlineStr">
        <is>
          <t>New all-time high</t>
        </is>
      </c>
      <c r="N20" s="41" t="inlineStr">
        <is>
          <t>S&amp;P ATH ~7,412 (breaks above 7,400)</t>
        </is>
      </c>
    </row>
    <row r="21" ht="36" customHeight="1" s="49">
      <c r="A21" s="41" t="inlineStr">
        <is>
          <t>May 27 2026</t>
        </is>
      </c>
      <c r="B21" s="41" t="n">
        <v>7501.39</v>
      </c>
      <c r="C21" s="41" t="n"/>
      <c r="D21" s="41" t="n"/>
      <c r="E21" s="41" t="n"/>
      <c r="F21" s="41" t="n"/>
      <c r="G21" s="41" t="n"/>
      <c r="H21" s="41" t="inlineStr">
        <is>
          <t>Chip/AI strength</t>
        </is>
      </c>
      <c r="I21" s="41" t="inlineStr">
        <is>
          <t>—</t>
        </is>
      </c>
      <c r="J21" s="41" t="inlineStr">
        <is>
          <t>—</t>
        </is>
      </c>
      <c r="K21" s="41" t="inlineStr">
        <is>
          <t>—</t>
        </is>
      </c>
      <c r="L21" s="41" t="inlineStr">
        <is>
          <t>—</t>
        </is>
      </c>
      <c r="M21" s="41" t="inlineStr">
        <is>
          <t>First close above 7,500</t>
        </is>
      </c>
      <c r="N21" s="41" t="inlineStr">
        <is>
          <t>New record 7,501.39</t>
        </is>
      </c>
    </row>
    <row r="22" ht="36" customHeight="1" s="49">
      <c r="A22" s="41" t="inlineStr">
        <is>
          <t>May 28 2026</t>
        </is>
      </c>
      <c r="B22" s="41" t="n"/>
      <c r="C22" s="41" t="n"/>
      <c r="D22" s="41" t="n"/>
      <c r="E22" s="41" t="n"/>
      <c r="F22" s="41" t="n"/>
      <c r="G22" s="41" t="n"/>
      <c r="H22" s="41" t="inlineStr">
        <is>
          <t>Micron joins $1T market-cap club</t>
        </is>
      </c>
      <c r="I22" s="41" t="inlineStr">
        <is>
          <t>—</t>
        </is>
      </c>
      <c r="J22" s="41" t="inlineStr">
        <is>
          <t>—</t>
        </is>
      </c>
      <c r="K22" s="41" t="inlineStr">
        <is>
          <t>—</t>
        </is>
      </c>
      <c r="L22" s="41" t="inlineStr">
        <is>
          <t>—</t>
        </is>
      </c>
      <c r="M22" s="41" t="inlineStr">
        <is>
          <t>S&amp;P all-time high</t>
        </is>
      </c>
      <c r="N22" s="41" t="inlineStr">
        <is>
          <t>Micron $1T; record close</t>
        </is>
      </c>
    </row>
    <row r="23" ht="36" customHeight="1" s="49">
      <c r="A23" s="41" t="inlineStr">
        <is>
          <t>May 29 2026</t>
        </is>
      </c>
      <c r="B23" s="41" t="n">
        <v>7599.96</v>
      </c>
      <c r="C23" s="41" t="n">
        <v>0.0026</v>
      </c>
      <c r="D23" s="41" t="n"/>
      <c r="E23" s="41" t="n"/>
      <c r="F23" s="41" t="n"/>
      <c r="G23" s="41" t="n"/>
      <c r="H23" s="41" t="inlineStr">
        <is>
          <t>AI rally broadens</t>
        </is>
      </c>
      <c r="I23" s="41" t="inlineStr">
        <is>
          <t>—</t>
        </is>
      </c>
      <c r="J23" s="41" t="inlineStr">
        <is>
          <t>—</t>
        </is>
      </c>
      <c r="K23" s="41" t="inlineStr">
        <is>
          <t>—</t>
        </is>
      </c>
      <c r="L23" s="41" t="inlineStr">
        <is>
          <t>—</t>
        </is>
      </c>
      <c r="M23" s="41" t="inlineStr">
        <is>
          <t>Approaching 7,600</t>
        </is>
      </c>
      <c r="N23" s="41" t="inlineStr">
        <is>
          <t>Record 7,599.96 (+0.26%)</t>
        </is>
      </c>
    </row>
    <row r="24" ht="36" customHeight="1" s="49">
      <c r="A24" s="41" t="inlineStr">
        <is>
          <t>Jun 1 2026</t>
        </is>
      </c>
      <c r="B24" s="41" t="n"/>
      <c r="C24" s="41" t="n"/>
      <c r="D24" s="41" t="n">
        <v>26972.62</v>
      </c>
      <c r="E24" s="41" t="n"/>
      <c r="F24" s="41" t="n"/>
      <c r="G24" s="41" t="n"/>
      <c r="H24" s="41" t="inlineStr">
        <is>
          <t>Nasdaq intraday high 26,972.62</t>
        </is>
      </c>
      <c r="I24" s="41" t="inlineStr">
        <is>
          <t>—</t>
        </is>
      </c>
      <c r="J24" s="41" t="inlineStr">
        <is>
          <t>—</t>
        </is>
      </c>
      <c r="K24" s="41" t="inlineStr">
        <is>
          <t>—</t>
        </is>
      </c>
      <c r="L24" s="41" t="inlineStr">
        <is>
          <t>—</t>
        </is>
      </c>
      <c r="M24" s="41" t="inlineStr">
        <is>
          <t>Month-end record highs</t>
        </is>
      </c>
      <c r="N24" s="41" t="inlineStr">
        <is>
          <t>All 3 indexes record; Nasdaq +~16% YTD</t>
        </is>
      </c>
    </row>
    <row r="25" ht="36" customHeight="1" s="49">
      <c r="A25" s="41" t="inlineStr">
        <is>
          <t>Jun 2 2026</t>
        </is>
      </c>
      <c r="B25" s="41" t="n"/>
      <c r="C25" s="41" t="n"/>
      <c r="D25" s="41" t="n"/>
      <c r="E25" s="41" t="n"/>
      <c r="F25" s="41" t="n"/>
      <c r="G25" s="41" t="n"/>
      <c r="H25" s="41" t="inlineStr">
        <is>
          <t>Tech rally overpowers oil spike</t>
        </is>
      </c>
      <c r="I25" s="41" t="inlineStr">
        <is>
          <t>—</t>
        </is>
      </c>
      <c r="J25" s="41" t="inlineStr">
        <is>
          <t>—</t>
        </is>
      </c>
      <c r="K25" s="41" t="inlineStr">
        <is>
          <t>—</t>
        </is>
      </c>
      <c r="L25" s="41" t="inlineStr">
        <is>
          <t>Brent peaked &gt;$113 in May on Hormuz disruption</t>
        </is>
      </c>
      <c r="M25" s="41" t="inlineStr">
        <is>
          <t>First close above 7,600</t>
        </is>
      </c>
      <c r="N25" s="41" t="inlineStr">
        <is>
          <t>S&amp;P crosses 7,600 first time (CNBC Jun 1)</t>
        </is>
      </c>
    </row>
    <row r="26" ht="36" customHeight="1" s="49">
      <c r="A26" s="29" t="inlineStr">
        <is>
          <t>Jun 5 2026</t>
        </is>
      </c>
      <c r="B26" s="41" t="n">
        <v>7609.78</v>
      </c>
      <c r="C26" s="41" t="n">
        <v>0.0013</v>
      </c>
      <c r="D26" s="41" t="n"/>
      <c r="E26" s="41" t="n"/>
      <c r="F26" s="41" t="n"/>
      <c r="G26" s="41" t="n"/>
      <c r="H26" s="41" t="inlineStr">
        <is>
          <t>AI/chip melt-up</t>
        </is>
      </c>
      <c r="I26" s="41" t="inlineStr">
        <is>
          <t>—</t>
        </is>
      </c>
      <c r="J26" s="41" t="inlineStr">
        <is>
          <t>—</t>
        </is>
      </c>
      <c r="K26" s="41" t="inlineStr">
        <is>
          <t>—</t>
        </is>
      </c>
      <c r="L26" s="41" t="inlineStr">
        <is>
          <t>—</t>
        </is>
      </c>
      <c r="M26" s="41" t="inlineStr">
        <is>
          <t>Record; Goldman 7,600 target met early</t>
        </is>
      </c>
      <c r="N26" s="41" t="inlineStr">
        <is>
          <t>Record close 7,609.78</t>
        </is>
      </c>
    </row>
    <row r="27" ht="36" customHeight="1" s="49">
      <c r="A27" s="29" t="inlineStr">
        <is>
          <t>Jun 17 2026</t>
        </is>
      </c>
      <c r="B27" s="29" t="n">
        <v>7383.74</v>
      </c>
      <c r="C27" s="29" t="n">
        <v>-0.0264</v>
      </c>
      <c r="D27" s="29" t="n"/>
      <c r="E27" s="29" t="n"/>
      <c r="F27" s="29" t="n">
        <v>93.45</v>
      </c>
      <c r="G27" s="29" t="n">
        <v>97.44</v>
      </c>
      <c r="H27" s="29" t="inlineStr">
        <is>
          <t>Chip rout: SOX -10.3% (worst since 2020) on Broadcom soft guide</t>
        </is>
      </c>
      <c r="I27" s="29" t="inlineStr">
        <is>
          <t>Apollo/Blackstone $36B private-credit funds Anthropic TPU deal (May 29)</t>
        </is>
      </c>
      <c r="J27" s="29" t="inlineStr">
        <is>
          <t>Parabilis Medicines IPO up to $475M</t>
        </is>
      </c>
      <c r="K27" s="29" t="inlineStr">
        <is>
          <t>Lockheed $1B+ contracts</t>
        </is>
      </c>
      <c r="L27" s="29" t="inlineStr">
        <is>
          <t>WTI $93.45 / Brent $97.44; premium fading</t>
        </is>
      </c>
      <c r="M27" s="29" t="inlineStr">
        <is>
          <t>AI air-pocket #1; hot May jobs 172k</t>
        </is>
      </c>
      <c r="N27" s="29" t="inlineStr">
        <is>
          <t>Worst day since Oct 2025</t>
        </is>
      </c>
    </row>
    <row r="28" ht="36" customHeight="1" s="49">
      <c r="A28" s="29" t="inlineStr">
        <is>
          <t>Jun 18 2026</t>
        </is>
      </c>
      <c r="B28" s="29" t="n">
        <v>7420.1</v>
      </c>
      <c r="C28" s="29" t="n">
        <v>-0.0121</v>
      </c>
      <c r="D28" s="29" t="n">
        <v>26021.66</v>
      </c>
      <c r="E28" s="29" t="n">
        <v>-0.0134</v>
      </c>
      <c r="F28" s="29" t="n"/>
      <c r="G28" s="29" t="n"/>
      <c r="H28" s="29" t="inlineStr">
        <is>
          <t>Chips slide into Fed day</t>
        </is>
      </c>
      <c r="I28" s="29" t="inlineStr">
        <is>
          <t>Mega-LBO barbell (EA $55B, WBA $23.7B, OneStream $6.4B)</t>
        </is>
      </c>
      <c r="J28" s="29" t="inlineStr">
        <is>
          <t>—</t>
        </is>
      </c>
      <c r="K28" s="29" t="inlineStr">
        <is>
          <t>Iran war sustains demand</t>
        </is>
      </c>
      <c r="L28" s="29" t="inlineStr">
        <is>
          <t>10Y 4.46%</t>
        </is>
      </c>
      <c r="M28" s="29" t="inlineStr">
        <is>
          <t>FED REGIME CHANGE: Warsh; 9/18 project HIKE</t>
        </is>
      </c>
      <c r="N28" s="29" t="inlineStr">
        <is>
          <t>Worst new-Chair Fed-day since 1994</t>
        </is>
      </c>
    </row>
    <row r="29" ht="36" customHeight="1" s="49">
      <c r="A29" s="29" t="inlineStr">
        <is>
          <t>Jun 19 2026</t>
        </is>
      </c>
      <c r="B29" s="29" t="n">
        <v>7500.58</v>
      </c>
      <c r="C29" s="29" t="n">
        <v>0.0108</v>
      </c>
      <c r="D29" s="29" t="n">
        <v>26412</v>
      </c>
      <c r="E29" s="29" t="n">
        <v>0.015</v>
      </c>
      <c r="F29" s="29" t="n"/>
      <c r="G29" s="29" t="n"/>
      <c r="H29" s="29" t="inlineStr">
        <is>
          <t>Chips fuel comeback</t>
        </is>
      </c>
      <c r="I29" s="29" t="inlineStr">
        <is>
          <t>Take-privates continue</t>
        </is>
      </c>
      <c r="J29" s="29" t="inlineStr">
        <is>
          <t>Biotech IPO window ajar</t>
        </is>
      </c>
      <c r="K29" s="29" t="inlineStr">
        <is>
          <t>US ends Iran blockade</t>
        </is>
      </c>
      <c r="L29" s="29" t="inlineStr">
        <is>
          <t>—</t>
        </is>
      </c>
      <c r="M29" s="29" t="inlineStr">
        <is>
          <t>Recovery; Russell 2000 up</t>
        </is>
      </c>
      <c r="N29" s="29" t="inlineStr">
        <is>
          <t>Nasdaq derived +1.5%</t>
        </is>
      </c>
    </row>
    <row r="30" ht="36" customHeight="1" s="49">
      <c r="A30" s="29" t="inlineStr">
        <is>
          <t>Jun 20 2026</t>
        </is>
      </c>
      <c r="B30" s="29" t="inlineStr">
        <is>
          <t>CLOSED</t>
        </is>
      </c>
      <c r="C30" s="29" t="n"/>
      <c r="D30" s="29" t="inlineStr">
        <is>
          <t>CLOSED</t>
        </is>
      </c>
      <c r="E30" s="29" t="n"/>
      <c r="F30" s="29" t="n"/>
      <c r="G30" s="29" t="n"/>
      <c r="H30" s="29" t="inlineStr">
        <is>
          <t>—</t>
        </is>
      </c>
      <c r="I30" s="29" t="inlineStr">
        <is>
          <t>—</t>
        </is>
      </c>
      <c r="J30" s="29" t="inlineStr">
        <is>
          <t>—</t>
        </is>
      </c>
      <c r="K30" s="29" t="inlineStr">
        <is>
          <t>—</t>
        </is>
      </c>
      <c r="L30" s="29" t="inlineStr">
        <is>
          <t>—</t>
        </is>
      </c>
      <c r="M30" s="29" t="inlineStr">
        <is>
          <t>Juneteenth holiday</t>
        </is>
      </c>
      <c r="N30" s="29" t="inlineStr">
        <is>
          <t>Markets closed</t>
        </is>
      </c>
    </row>
    <row r="31" ht="36" customHeight="1" s="49">
      <c r="A31" s="29" t="inlineStr">
        <is>
          <t>Jun 22 2026</t>
        </is>
      </c>
      <c r="B31" s="29" t="n"/>
      <c r="C31" s="29" t="n"/>
      <c r="D31" s="29" t="n"/>
      <c r="E31" s="29" t="n"/>
      <c r="F31" s="29" t="n">
        <v>77.54000000000001</v>
      </c>
      <c r="G31" s="29" t="n">
        <v>80.56999999999999</v>
      </c>
      <c r="H31" s="29" t="inlineStr">
        <is>
          <t>—</t>
        </is>
      </c>
      <c r="I31" s="29" t="inlineStr">
        <is>
          <t>—</t>
        </is>
      </c>
      <c r="J31" s="29" t="inlineStr">
        <is>
          <t>—</t>
        </is>
      </c>
      <c r="K31" s="29" t="inlineStr">
        <is>
          <t>—</t>
        </is>
      </c>
      <c r="L31" s="29" t="inlineStr">
        <is>
          <t>Iran re-closed Hormuz; Israel-Hezbollah ceasefire (tentative)</t>
        </is>
      </c>
      <c r="M31" s="29" t="inlineStr">
        <is>
          <t>Oil whipsaw</t>
        </is>
      </c>
      <c r="N31" s="29" t="inlineStr">
        <is>
          <t>Weekend geopolitics</t>
        </is>
      </c>
    </row>
    <row r="32" ht="36" customHeight="1" s="49">
      <c r="A32" s="29" t="inlineStr">
        <is>
          <t>Jun 23 2026</t>
        </is>
      </c>
      <c r="B32" s="29" t="n">
        <v>7509</v>
      </c>
      <c r="C32" s="29" t="n">
        <v>0.0012</v>
      </c>
      <c r="D32" s="29" t="n">
        <v>26341</v>
      </c>
      <c r="E32" s="29" t="n">
        <v>-0.0027</v>
      </c>
      <c r="F32" s="29" t="n">
        <v>74.3</v>
      </c>
      <c r="G32" s="29" t="n">
        <v>78.41</v>
      </c>
      <c r="H32" s="29" t="inlineStr">
        <is>
          <t>Nasdaq-100 rebalance: CoreWeave+Rocket Lab added, fell</t>
        </is>
      </c>
      <c r="I32" s="29" t="inlineStr">
        <is>
          <t>Montagu/BMC Helix; NextEra/Caliber $1.3B+Quantum JV</t>
        </is>
      </c>
      <c r="J32" s="29" t="inlineStr">
        <is>
          <t>—</t>
        </is>
      </c>
      <c r="K32" s="29" t="inlineStr">
        <is>
          <t>—</t>
        </is>
      </c>
      <c r="L32" s="29" t="inlineStr">
        <is>
          <t>Premium draining; VP Vance 'good foundation'</t>
        </is>
      </c>
      <c r="M32" s="29" t="inlineStr">
        <is>
          <t>Dow +0.44%</t>
        </is>
      </c>
      <c r="N32" s="29" t="inlineStr">
        <is>
          <t>Post-Juneteenth reopen</t>
        </is>
      </c>
    </row>
    <row r="33" ht="36" customHeight="1" s="49">
      <c r="A33" s="29" t="inlineStr">
        <is>
          <t>Jun 24 2026</t>
        </is>
      </c>
      <c r="B33" s="29" t="n">
        <v>7365.46</v>
      </c>
      <c r="C33" s="29" t="n">
        <v>-0.0144</v>
      </c>
      <c r="D33" s="29" t="n">
        <v>25587.04</v>
      </c>
      <c r="E33" s="29" t="n">
        <v>-0.0221</v>
      </c>
      <c r="F33" s="29" t="n">
        <v>73.40000000000001</v>
      </c>
      <c r="G33" s="29" t="n">
        <v>78</v>
      </c>
      <c r="H33" s="29" t="inlineStr">
        <is>
          <t>SMH -6.5%; S&amp;P Tech -4.13%; KOSPI -9.99% (air-pocket #2)</t>
        </is>
      </c>
      <c r="I33" s="29" t="inlineStr">
        <is>
          <t>BofA: 3 Fed hikes 2026 -&gt;4.25-4.50%</t>
        </is>
      </c>
      <c r="J33" s="29" t="inlineStr">
        <is>
          <t>—</t>
        </is>
      </c>
      <c r="K33" s="29" t="inlineStr">
        <is>
          <t>War de-escalating</t>
        </is>
      </c>
      <c r="L33" s="29" t="inlineStr">
        <is>
          <t>US Treasury 60-day Iran oil waiver; 67M bbls</t>
        </is>
      </c>
      <c r="M33" s="29" t="inlineStr">
        <is>
          <t>BofA hawkish shock + chip rout</t>
        </is>
      </c>
      <c r="N33" s="29" t="inlineStr">
        <is>
          <t>Dow -0.09%</t>
        </is>
      </c>
    </row>
    <row r="34" ht="36" customHeight="1" s="49">
      <c r="A34" s="29" t="inlineStr">
        <is>
          <t>Jun 25 2026</t>
        </is>
      </c>
      <c r="B34" s="29" t="n">
        <v>7358.22</v>
      </c>
      <c r="C34" s="29" t="n">
        <v>-0.001</v>
      </c>
      <c r="D34" s="29" t="n">
        <v>25476.64</v>
      </c>
      <c r="E34" s="29" t="n">
        <v>-0.0043</v>
      </c>
      <c r="F34" s="29" t="n"/>
      <c r="G34" s="29" t="n"/>
      <c r="H34" s="29" t="inlineStr">
        <is>
          <t>Chips slide ahead of Micron</t>
        </is>
      </c>
      <c r="I34" s="29" t="inlineStr">
        <is>
          <t>—</t>
        </is>
      </c>
      <c r="J34" s="29" t="inlineStr">
        <is>
          <t>—</t>
        </is>
      </c>
      <c r="K34" s="29" t="inlineStr">
        <is>
          <t>—</t>
        </is>
      </c>
      <c r="L34" s="29" t="inlineStr">
        <is>
          <t>—</t>
        </is>
      </c>
      <c r="M34" s="29" t="inlineStr">
        <is>
          <t>Dow +0.35% (defensive rotation)</t>
        </is>
      </c>
      <c r="N34" s="29" t="inlineStr">
        <is>
          <t>Micron reports after close</t>
        </is>
      </c>
    </row>
    <row r="35" ht="36" customHeight="1" s="49">
      <c r="A35" s="29" t="inlineStr">
        <is>
          <t>Jun 26 2026</t>
        </is>
      </c>
      <c r="B35" s="29" t="n">
        <v>7357.49</v>
      </c>
      <c r="C35" s="29" t="n">
        <v>-0.0001</v>
      </c>
      <c r="D35" s="29" t="n">
        <v>25358.6</v>
      </c>
      <c r="E35" s="29" t="n">
        <v>-0.0046</v>
      </c>
      <c r="F35" s="29" t="n"/>
      <c r="G35" s="29" t="n"/>
      <c r="H35" s="29" t="inlineStr">
        <is>
          <t>Tech soft</t>
        </is>
      </c>
      <c r="I35" s="29" t="inlineStr">
        <is>
          <t>—</t>
        </is>
      </c>
      <c r="J35" s="29" t="inlineStr">
        <is>
          <t>—</t>
        </is>
      </c>
      <c r="K35" s="29" t="inlineStr">
        <is>
          <t>—</t>
        </is>
      </c>
      <c r="L35" s="29" t="inlineStr">
        <is>
          <t>—</t>
        </is>
      </c>
      <c r="M35" s="29" t="inlineStr">
        <is>
          <t>Dow +0.14%</t>
        </is>
      </c>
      <c r="N35" s="29" t="inlineStr">
        <is>
          <t>Flat S&amp;P</t>
        </is>
      </c>
    </row>
    <row r="36" ht="36" customHeight="1" s="49">
      <c r="A36" s="29" t="inlineStr">
        <is>
          <t>Jun 29 2026</t>
        </is>
      </c>
      <c r="B36" s="29" t="n"/>
      <c r="C36" s="29" t="n"/>
      <c r="D36" s="29" t="n"/>
      <c r="E36" s="29" t="n"/>
      <c r="F36" s="29" t="n">
        <v>69.5</v>
      </c>
      <c r="G36" s="29" t="n"/>
      <c r="H36" s="29" t="inlineStr">
        <is>
          <t>Tread water amid tech sell-off</t>
        </is>
      </c>
      <c r="I36" s="29" t="inlineStr">
        <is>
          <t>—</t>
        </is>
      </c>
      <c r="J36" s="29" t="inlineStr">
        <is>
          <t>—</t>
        </is>
      </c>
      <c r="K36" s="29" t="inlineStr">
        <is>
          <t>—</t>
        </is>
      </c>
      <c r="L36" s="29" t="inlineStr">
        <is>
          <t>WTI below $70 after cargo-ship attack near Oman</t>
        </is>
      </c>
      <c r="M36" s="29" t="inlineStr">
        <is>
          <t>Oil resumes losses</t>
        </is>
      </c>
      <c r="N36" s="29" t="inlineStr">
        <is>
          <t>Exact close n/d</t>
        </is>
      </c>
    </row>
    <row r="37" ht="36" customHeight="1" s="49">
      <c r="A37" s="29" t="inlineStr">
        <is>
          <t>Jun 30 2026</t>
        </is>
      </c>
      <c r="B37" s="29" t="n">
        <v>7445</v>
      </c>
      <c r="C37" s="29" t="n">
        <v>0.012</v>
      </c>
      <c r="D37" s="29" t="n"/>
      <c r="E37" s="29" t="n">
        <v>0.02</v>
      </c>
      <c r="F37" s="29" t="n"/>
      <c r="G37" s="29" t="n">
        <v>73.17</v>
      </c>
      <c r="H37" s="29" t="inlineStr">
        <is>
          <t>Nasdaq +2% rebound</t>
        </is>
      </c>
      <c r="I37" s="29" t="inlineStr">
        <is>
          <t>—</t>
        </is>
      </c>
      <c r="J37" s="29" t="inlineStr">
        <is>
          <t>—</t>
        </is>
      </c>
      <c r="K37" s="29" t="inlineStr">
        <is>
          <t>—</t>
        </is>
      </c>
      <c r="L37" s="29" t="inlineStr">
        <is>
          <t>Renewed US-Iran strikes; Brent $73.17</t>
        </is>
      </c>
      <c r="M37" s="29" t="inlineStr">
        <is>
          <t>Dow &gt;52,000 first time</t>
        </is>
      </c>
      <c r="N37" s="29" t="inlineStr">
        <is>
          <t>S&amp;P level derived (+1.2%)</t>
        </is>
      </c>
    </row>
    <row r="38" ht="36" customHeight="1" s="49">
      <c r="A38" s="29" t="inlineStr">
        <is>
          <t>Jul 1 2026</t>
        </is>
      </c>
      <c r="B38" s="29" t="n">
        <v>7449.36</v>
      </c>
      <c r="C38" s="29" t="n">
        <v>0.0003</v>
      </c>
      <c r="D38" s="29" t="n">
        <v>26213.72</v>
      </c>
      <c r="E38" s="29" t="n">
        <v>0.0029</v>
      </c>
      <c r="F38" s="29" t="n"/>
      <c r="G38" s="29" t="n"/>
      <c r="H38" s="29" t="inlineStr">
        <is>
          <t>Nasdaq +0.29%</t>
        </is>
      </c>
      <c r="I38" s="29" t="inlineStr">
        <is>
          <t>—</t>
        </is>
      </c>
      <c r="J38" s="29" t="inlineStr">
        <is>
          <t>—</t>
        </is>
      </c>
      <c r="K38" s="29" t="inlineStr">
        <is>
          <t>—</t>
        </is>
      </c>
      <c r="L38" s="29" t="inlineStr">
        <is>
          <t>—</t>
        </is>
      </c>
      <c r="M38" s="29" t="inlineStr">
        <is>
          <t>Best quarter since 2020</t>
        </is>
      </c>
      <c r="N38" s="29" t="inlineStr">
        <is>
          <t>Q2 close</t>
        </is>
      </c>
    </row>
    <row r="39" ht="36" customHeight="1" s="49">
      <c r="A39" s="29" t="inlineStr">
        <is>
          <t>Jul 2 2026</t>
        </is>
      </c>
      <c r="B39" s="29" t="n">
        <v>7483</v>
      </c>
      <c r="C39" s="29" t="n">
        <v>0.0045</v>
      </c>
      <c r="D39" s="29" t="n"/>
      <c r="E39" s="29" t="n"/>
      <c r="F39" s="29" t="n">
        <v>68.58</v>
      </c>
      <c r="G39" s="29" t="n">
        <v>71.56999999999999</v>
      </c>
      <c r="H39" s="29" t="inlineStr">
        <is>
          <t>Comms + financials lift</t>
        </is>
      </c>
      <c r="I39" s="29" t="inlineStr">
        <is>
          <t>—</t>
        </is>
      </c>
      <c r="J39" s="29" t="inlineStr">
        <is>
          <t>—</t>
        </is>
      </c>
      <c r="K39" s="29" t="inlineStr">
        <is>
          <t>—</t>
        </is>
      </c>
      <c r="L39" s="29" t="inlineStr">
        <is>
          <t>Iran exports surge &gt;40M bbls; Brent $71.57</t>
        </is>
      </c>
      <c r="M39" s="29" t="inlineStr">
        <is>
          <t>Dow 2nd straight record; Q3 begins</t>
        </is>
      </c>
      <c r="N39" s="29" t="inlineStr">
        <is>
          <t>S&amp;P level derived</t>
        </is>
      </c>
    </row>
    <row r="40" ht="36" customHeight="1" s="49">
      <c r="A40" s="42" t="inlineStr">
        <is>
          <t>Jul 3 2026</t>
        </is>
      </c>
      <c r="B40" s="29" t="n">
        <v>7453.96</v>
      </c>
      <c r="C40" s="29" t="n">
        <v>-0.0039</v>
      </c>
      <c r="D40" s="29" t="n"/>
      <c r="E40" s="29" t="n">
        <v>-0.0118</v>
      </c>
      <c r="F40" s="29" t="n"/>
      <c r="G40" s="29" t="n">
        <v>68</v>
      </c>
      <c r="H40" s="29" t="inlineStr">
        <is>
          <t>Nasdaq -1.18%</t>
        </is>
      </c>
      <c r="I40" s="29" t="inlineStr">
        <is>
          <t>—</t>
        </is>
      </c>
      <c r="J40" s="29" t="inlineStr">
        <is>
          <t>—</t>
        </is>
      </c>
      <c r="K40" s="29" t="inlineStr">
        <is>
          <t>—</t>
        </is>
      </c>
      <c r="L40" s="29" t="inlineStr">
        <is>
          <t>Crude below $68 (lowest since late Feb); Brent -21% in June</t>
        </is>
      </c>
      <c r="M40" s="29" t="inlineStr">
        <is>
          <t>June jobs 57k vs 113k; unemployment 4.2%</t>
        </is>
      </c>
      <c r="N40" s="29" t="inlineStr">
        <is>
          <t>Dow +0.62%; weak jobs may cool Fed hawks</t>
        </is>
      </c>
    </row>
  </sheetData>
  <mergeCells count="2">
    <mergeCell ref="A2:N2"/>
    <mergeCell ref="A1:N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zoomScaleNormal="100" workbookViewId="0">
      <pane xSplit="1" ySplit="4" topLeftCell="B5" activePane="bottomRight" state="frozen"/>
      <selection pane="bottomLeft" activeCell="A5" sqref="A5"/>
      <selection pane="topRight" activeCell="B1" sqref="B1"/>
      <selection pane="bottomRight" activeCell="A5" sqref="A5"/>
    </sheetView>
  </sheetViews>
  <sheetFormatPr baseColWidth="8" defaultColWidth="8.609375" defaultRowHeight="15"/>
  <cols>
    <col width="9.01171875" customWidth="1" style="49" min="1" max="1"/>
    <col width="11.02734375" customWidth="1" style="49" min="2" max="2"/>
    <col width="9.953125" customWidth="1" style="49" min="3" max="4"/>
    <col width="11.02734375" customWidth="1" style="49" min="5" max="6"/>
    <col width="9.953125" customWidth="1" style="49" min="7" max="7"/>
    <col width="9.01171875" customWidth="1" style="49" min="8" max="8"/>
    <col width="32.015625" customWidth="1" style="49" min="9" max="9"/>
    <col width="37.93359375" customWidth="1" style="49" min="10" max="10"/>
  </cols>
  <sheetData>
    <row r="1" ht="24" customHeight="1" s="49">
      <c r="A1" s="48" t="inlineStr">
        <is>
          <t>S&amp;P 500 PRICE TRACKER — APRIL–MAY 2026</t>
        </is>
      </c>
    </row>
    <row r="2">
      <c r="A2" s="50" t="inlineStr">
        <is>
          <t>Rolling daily closes | Moving averages | Momentum signals</t>
        </is>
      </c>
    </row>
    <row r="4" ht="30" customHeight="1" s="49">
      <c r="A4" s="1" t="inlineStr">
        <is>
          <t>Date</t>
        </is>
      </c>
      <c r="B4" s="1" t="inlineStr">
        <is>
          <t>Close</t>
        </is>
      </c>
      <c r="C4" s="1" t="inlineStr">
        <is>
          <t>Daily Δ</t>
        </is>
      </c>
      <c r="D4" s="1" t="inlineStr">
        <is>
          <t>Daily Δ%</t>
        </is>
      </c>
      <c r="E4" s="1" t="inlineStr">
        <is>
          <t>5-Day MA</t>
        </is>
      </c>
      <c r="F4" s="1" t="inlineStr">
        <is>
          <t>7-Day MA</t>
        </is>
      </c>
      <c r="G4" s="1" t="inlineStr">
        <is>
          <t>MTD %</t>
        </is>
      </c>
      <c r="H4" s="1" t="inlineStr">
        <is>
          <t>Signal</t>
        </is>
      </c>
      <c r="I4" s="1" t="inlineStr">
        <is>
          <t>YTD Context</t>
        </is>
      </c>
      <c r="J4" s="1" t="inlineStr">
        <is>
          <t>Notes</t>
        </is>
      </c>
    </row>
    <row r="5" ht="36" customHeight="1" s="49">
      <c r="A5" s="15" t="inlineStr">
        <is>
          <t>Apr 20</t>
        </is>
      </c>
      <c r="B5" s="16" t="n">
        <v>7109.14</v>
      </c>
      <c r="C5" s="16" t="n">
        <v>0</v>
      </c>
      <c r="D5" s="17" t="n">
        <v>0</v>
      </c>
      <c r="E5" s="16">
        <f>AVERAGE(B5:B5)</f>
        <v/>
      </c>
      <c r="F5" s="16">
        <f>AVERAGE(B5:B5)</f>
        <v/>
      </c>
      <c r="G5" s="17">
        <f>(B5-6528.52)/6528.52</f>
        <v/>
      </c>
      <c r="H5" s="18" t="inlineStr">
        <is>
          <t>HOLD</t>
        </is>
      </c>
      <c r="I5" s="19" t="inlineStr">
        <is>
          <t>April +9.8%; May ATH path; oil-driven volatility</t>
        </is>
      </c>
      <c r="J5" s="19" t="inlineStr">
        <is>
          <t>Nasdaq streak ended; mild pullback</t>
        </is>
      </c>
    </row>
    <row r="6" ht="35.1" customHeight="1" s="49">
      <c r="A6" s="15" t="inlineStr">
        <is>
          <t>Apr 21</t>
        </is>
      </c>
      <c r="B6" s="16" t="n">
        <v>7064.01</v>
      </c>
      <c r="C6" s="16">
        <f>B6-B5</f>
        <v/>
      </c>
      <c r="D6" s="17">
        <f>(B6-B5)/B5</f>
        <v/>
      </c>
      <c r="E6" s="16">
        <f>AVERAGE(B5:B6)</f>
        <v/>
      </c>
      <c r="F6" s="16">
        <f>AVERAGE(B5:B6)</f>
        <v/>
      </c>
      <c r="G6" s="17">
        <f>(B6-6528.52)/6528.52</f>
        <v/>
      </c>
      <c r="H6" s="18" t="inlineStr">
        <is>
          <t>HOLD</t>
        </is>
      </c>
      <c r="I6" s="19" t="inlineStr">
        <is>
          <t>April +9.8%; May ATH path; oil-driven volatility</t>
        </is>
      </c>
      <c r="J6" s="19" t="inlineStr">
        <is>
          <t>Geopolitical wobble; Iran ceasefire watch</t>
        </is>
      </c>
    </row>
    <row r="7" ht="35.1" customHeight="1" s="49">
      <c r="A7" s="15" t="inlineStr">
        <is>
          <t>Apr 22</t>
        </is>
      </c>
      <c r="B7" s="16" t="n">
        <v>7137.9</v>
      </c>
      <c r="C7" s="16">
        <f>B7-B6</f>
        <v/>
      </c>
      <c r="D7" s="17">
        <f>(B7-B6)/B6</f>
        <v/>
      </c>
      <c r="E7" s="16">
        <f>AVERAGE(B5:B7)</f>
        <v/>
      </c>
      <c r="F7" s="16">
        <f>AVERAGE(B5:B7)</f>
        <v/>
      </c>
      <c r="G7" s="17">
        <f>(B7-6528.52)/6528.52</f>
        <v/>
      </c>
      <c r="H7" s="18" t="inlineStr">
        <is>
          <t>BUY</t>
        </is>
      </c>
      <c r="I7" s="19" t="inlineStr">
        <is>
          <t>April +9.8%; May ATH path; oil-driven volatility</t>
        </is>
      </c>
      <c r="J7" s="19" t="inlineStr">
        <is>
          <t>Recovery; Nasdaq new ATH intraday</t>
        </is>
      </c>
    </row>
    <row r="8" ht="36.95" customHeight="1" s="49">
      <c r="A8" s="15" t="inlineStr">
        <is>
          <t>Apr 23</t>
        </is>
      </c>
      <c r="B8" s="16" t="n">
        <v>7108.4</v>
      </c>
      <c r="C8" s="16">
        <f>B8-B7</f>
        <v/>
      </c>
      <c r="D8" s="17">
        <f>(B8-B7)/B7</f>
        <v/>
      </c>
      <c r="E8" s="16">
        <f>AVERAGE(B5:B8)</f>
        <v/>
      </c>
      <c r="F8" s="16">
        <f>AVERAGE(B5:B8)</f>
        <v/>
      </c>
      <c r="G8" s="17">
        <f>(B8-6528.52)/6528.52</f>
        <v/>
      </c>
      <c r="H8" s="18" t="inlineStr">
        <is>
          <t>HOLD</t>
        </is>
      </c>
      <c r="I8" s="19" t="inlineStr">
        <is>
          <t>April +9.8%; May ATH path; oil-driven volatility</t>
        </is>
      </c>
      <c r="J8" s="19" t="inlineStr">
        <is>
          <t>Consolidation; profit-taking</t>
        </is>
      </c>
    </row>
    <row r="9" ht="36" customHeight="1" s="49">
      <c r="A9" s="15" t="inlineStr">
        <is>
          <t>Apr 24</t>
        </is>
      </c>
      <c r="B9" s="16" t="n">
        <v>7165.08</v>
      </c>
      <c r="C9" s="16">
        <f>B9-B8</f>
        <v/>
      </c>
      <c r="D9" s="17">
        <f>(B9-B8)/B8</f>
        <v/>
      </c>
      <c r="E9" s="16">
        <f>AVERAGE(B5:B9)</f>
        <v/>
      </c>
      <c r="F9" s="16">
        <f>AVERAGE(B5:B9)</f>
        <v/>
      </c>
      <c r="G9" s="17">
        <f>(B9-6528.52)/6528.52</f>
        <v/>
      </c>
      <c r="H9" s="18" t="inlineStr">
        <is>
          <t>BUY</t>
        </is>
      </c>
      <c r="I9" s="19" t="inlineStr">
        <is>
          <t>April +9.8%; May ATH path; oil-driven volatility</t>
        </is>
      </c>
      <c r="J9" s="19" t="inlineStr">
        <is>
          <t>Record close; chip/AI strength</t>
        </is>
      </c>
    </row>
    <row r="10" ht="33" customHeight="1" s="49">
      <c r="A10" s="2" t="inlineStr">
        <is>
          <t>Apr 27</t>
        </is>
      </c>
      <c r="B10" s="3" t="n">
        <v>7138.8</v>
      </c>
      <c r="C10" s="3">
        <f>B10-B9</f>
        <v/>
      </c>
      <c r="D10" s="4">
        <f>(B10-B9)/B9</f>
        <v/>
      </c>
      <c r="E10" s="3">
        <f>AVERAGE(B6:B10)</f>
        <v/>
      </c>
      <c r="F10" s="3">
        <f>AVERAGE(B5:B10)</f>
        <v/>
      </c>
      <c r="G10" s="4">
        <f>(B10-6528.52)/6528.52</f>
        <v/>
      </c>
      <c r="H10" s="5" t="inlineStr">
        <is>
          <t>HOLD</t>
        </is>
      </c>
      <c r="I10" s="6" t="inlineStr">
        <is>
          <t>April +9.8%; May ATH path; oil-driven volatility</t>
        </is>
      </c>
      <c r="J10" s="6" t="inlineStr">
        <is>
          <t>OpenAI growth concerns; oil pressure</t>
        </is>
      </c>
    </row>
    <row r="11" ht="33" customHeight="1" s="49">
      <c r="A11" s="2" t="inlineStr">
        <is>
          <t>Apr 28</t>
        </is>
      </c>
      <c r="B11" s="3" t="n">
        <v>7173.91</v>
      </c>
      <c r="C11" s="3">
        <f>B11-B10</f>
        <v/>
      </c>
      <c r="D11" s="4">
        <f>(B11-B10)/B10</f>
        <v/>
      </c>
      <c r="E11" s="3">
        <f>AVERAGE(B7:B11)</f>
        <v/>
      </c>
      <c r="F11" s="3">
        <f>AVERAGE(B5:B11)</f>
        <v/>
      </c>
      <c r="G11" s="4">
        <f>(B11-6528.52)/6528.52</f>
        <v/>
      </c>
      <c r="H11" s="12" t="inlineStr">
        <is>
          <t>BUY</t>
        </is>
      </c>
      <c r="I11" s="6" t="inlineStr">
        <is>
          <t>April +9.8%; May ATH path; oil-driven volatility</t>
        </is>
      </c>
      <c r="J11" s="6" t="inlineStr">
        <is>
          <t>Fresh ATH 7,173.91 pre-Mag7</t>
        </is>
      </c>
    </row>
    <row r="12" ht="33" customHeight="1" s="49">
      <c r="A12" s="2" t="inlineStr">
        <is>
          <t>Apr 29</t>
        </is>
      </c>
      <c r="B12" s="3" t="n">
        <v>7135.95</v>
      </c>
      <c r="C12" s="3">
        <f>B12-B11</f>
        <v/>
      </c>
      <c r="D12" s="4">
        <f>(B12-B11)/B11</f>
        <v/>
      </c>
      <c r="E12" s="3">
        <f>AVERAGE(B8:B12)</f>
        <v/>
      </c>
      <c r="F12" s="3">
        <f>AVERAGE(B6:B12)</f>
        <v/>
      </c>
      <c r="G12" s="4">
        <f>(B12-6528.52)/6528.52</f>
        <v/>
      </c>
      <c r="H12" s="5" t="inlineStr">
        <is>
          <t>HOLD</t>
        </is>
      </c>
      <c r="I12" s="6" t="inlineStr">
        <is>
          <t>April +9.8%; May ATH path; oil-driven volatility</t>
        </is>
      </c>
      <c r="J12" s="6" t="inlineStr">
        <is>
          <t>Fed pause; 10Y to 4.41%; Dow -280pts</t>
        </is>
      </c>
    </row>
    <row r="13" ht="32.1" customHeight="1" s="49">
      <c r="A13" s="2" t="inlineStr">
        <is>
          <t>Apr 30</t>
        </is>
      </c>
      <c r="B13" s="3" t="n">
        <v>7155</v>
      </c>
      <c r="C13" s="3">
        <f>B13-B12</f>
        <v/>
      </c>
      <c r="D13" s="4">
        <f>(B13-B12)/B12</f>
        <v/>
      </c>
      <c r="E13" s="3">
        <f>AVERAGE(B9:B13)</f>
        <v/>
      </c>
      <c r="F13" s="3">
        <f>AVERAGE(B7:B13)</f>
        <v/>
      </c>
      <c r="G13" s="4">
        <f>(B13-6528.52)/6528.52</f>
        <v/>
      </c>
      <c r="H13" s="5" t="inlineStr">
        <is>
          <t>HOLD</t>
        </is>
      </c>
      <c r="I13" s="6" t="inlineStr">
        <is>
          <t>April +9.8%; May ATH path; oil-driven volatility</t>
        </is>
      </c>
      <c r="J13" s="6" t="inlineStr">
        <is>
          <t>Apple report; April MTD ~+10%</t>
        </is>
      </c>
    </row>
    <row r="14" ht="33" customHeight="1" s="49">
      <c r="A14" s="15" t="inlineStr">
        <is>
          <t>May 1</t>
        </is>
      </c>
      <c r="B14" s="16" t="n">
        <v>7230.12</v>
      </c>
      <c r="C14" s="16">
        <f>B14-B13</f>
        <v/>
      </c>
      <c r="D14" s="17">
        <f>(B14-B13)/B13</f>
        <v/>
      </c>
      <c r="E14" s="16">
        <f>AVERAGE(B10:B14)</f>
        <v/>
      </c>
      <c r="F14" s="16">
        <f>AVERAGE(B8:B14)</f>
        <v/>
      </c>
      <c r="G14" s="17">
        <f>(B14-6528.52)/6528.52</f>
        <v/>
      </c>
      <c r="H14" s="18" t="inlineStr">
        <is>
          <t>BUY</t>
        </is>
      </c>
      <c r="I14" s="19" t="inlineStr">
        <is>
          <t>April +9.8%; May ATH path; oil-driven volatility</t>
        </is>
      </c>
      <c r="J14" s="19" t="inlineStr">
        <is>
          <t>ATH 7,230.12; best month since 2020</t>
        </is>
      </c>
    </row>
    <row r="15" ht="30.95" customHeight="1" s="49">
      <c r="A15" s="15" t="inlineStr">
        <is>
          <t>May 4</t>
        </is>
      </c>
      <c r="B15" s="16" t="n">
        <v>7200.75</v>
      </c>
      <c r="C15" s="16">
        <f>B15-B14</f>
        <v/>
      </c>
      <c r="D15" s="17">
        <f>(B15-B14)/B14</f>
        <v/>
      </c>
      <c r="E15" s="16">
        <f>AVERAGE(B11:B15)</f>
        <v/>
      </c>
      <c r="F15" s="16">
        <f>AVERAGE(B9:B15)</f>
        <v/>
      </c>
      <c r="G15" s="17">
        <f>(B15-6528.52)/6528.52</f>
        <v/>
      </c>
      <c r="H15" s="18" t="inlineStr">
        <is>
          <t>SELL</t>
        </is>
      </c>
      <c r="I15" s="19" t="inlineStr">
        <is>
          <t>April +9.8%; May ATH path; oil-driven volatility</t>
        </is>
      </c>
      <c r="J15" s="19" t="inlineStr">
        <is>
          <t>Risk-off; UAE missile intercept</t>
        </is>
      </c>
    </row>
    <row r="16" ht="30.95" customHeight="1" s="49">
      <c r="A16" s="15" t="inlineStr">
        <is>
          <t>May 5</t>
        </is>
      </c>
      <c r="B16" s="16" t="n">
        <v>7259.22</v>
      </c>
      <c r="C16" s="16">
        <f>B16-B15</f>
        <v/>
      </c>
      <c r="D16" s="17">
        <f>(B16-B15)/B15</f>
        <v/>
      </c>
      <c r="E16" s="16">
        <f>AVERAGE(B12:B16)</f>
        <v/>
      </c>
      <c r="F16" s="16">
        <f>AVERAGE(B10:B16)</f>
        <v/>
      </c>
      <c r="G16" s="17">
        <f>(B16-6528.52)/6528.52</f>
        <v/>
      </c>
      <c r="H16" s="18" t="inlineStr">
        <is>
          <t>BUY</t>
        </is>
      </c>
      <c r="I16" s="19" t="inlineStr">
        <is>
          <t>April +9.8%; May ATH path; oil-driven volatility</t>
        </is>
      </c>
      <c r="J16" s="19" t="inlineStr">
        <is>
          <t>ATH 7,259.22; oil -10%; Russell 2k ATH</t>
        </is>
      </c>
    </row>
    <row r="17" ht="36" customHeight="1" s="49">
      <c r="A17" s="9" t="inlineStr">
        <is>
          <t>May 6</t>
        </is>
      </c>
      <c r="B17" s="41" t="n">
        <v>7365.12</v>
      </c>
      <c r="C17" s="41" t="n"/>
      <c r="D17" s="41" t="n">
        <v>0.0146</v>
      </c>
      <c r="E17" s="41" t="n"/>
      <c r="F17" s="41" t="n"/>
      <c r="G17" s="41" t="n"/>
      <c r="H17" s="41" t="inlineStr">
        <is>
          <t>BUY</t>
        </is>
      </c>
      <c r="I17" s="41" t="inlineStr">
        <is>
          <t>US-Iran deal hopes</t>
        </is>
      </c>
      <c r="J17" s="41" t="inlineStr">
        <is>
          <t>S&amp;P +1.46%</t>
        </is>
      </c>
    </row>
    <row r="18" ht="36" customHeight="1" s="49">
      <c r="A18" s="9" t="inlineStr">
        <is>
          <t>May 11</t>
        </is>
      </c>
      <c r="B18" s="41" t="n">
        <v>7412</v>
      </c>
      <c r="C18" s="41" t="n"/>
      <c r="D18" s="41" t="n"/>
      <c r="E18" s="41" t="n"/>
      <c r="F18" s="41" t="n"/>
      <c r="G18" s="41" t="n"/>
      <c r="H18" s="41" t="inlineStr">
        <is>
          <t>BUY</t>
        </is>
      </c>
      <c r="I18" s="41" t="inlineStr">
        <is>
          <t>ATH</t>
        </is>
      </c>
      <c r="J18" s="41" t="inlineStr">
        <is>
          <t>New all-time high ~7,412</t>
        </is>
      </c>
    </row>
    <row r="19" ht="36" customHeight="1" s="49">
      <c r="A19" s="9" t="inlineStr">
        <is>
          <t>May 14</t>
        </is>
      </c>
      <c r="B19" s="41" t="n">
        <v>7501.39</v>
      </c>
      <c r="C19" s="41" t="n"/>
      <c r="D19" s="41" t="n"/>
      <c r="E19" s="41" t="n"/>
      <c r="F19" s="41" t="n"/>
      <c r="G19" s="41" t="n"/>
      <c r="H19" s="41" t="inlineStr">
        <is>
          <t>BUY</t>
        </is>
      </c>
      <c r="I19" s="41" t="inlineStr">
        <is>
          <t>First &gt;7,500</t>
        </is>
      </c>
      <c r="J19" s="41" t="inlineStr">
        <is>
          <t>Record 7,501.39</t>
        </is>
      </c>
    </row>
    <row r="20" ht="36" customHeight="1" s="49">
      <c r="A20" s="9" t="inlineStr">
        <is>
          <t>May 28</t>
        </is>
      </c>
      <c r="B20" s="41" t="n">
        <v>7599.96</v>
      </c>
      <c r="C20" s="41" t="n"/>
      <c r="D20" s="41" t="n">
        <v>0.0026</v>
      </c>
      <c r="E20" s="41" t="n"/>
      <c r="F20" s="41" t="n"/>
      <c r="G20" s="41" t="n"/>
      <c r="H20" s="41" t="inlineStr">
        <is>
          <t>BUY</t>
        </is>
      </c>
      <c r="I20" s="41" t="inlineStr">
        <is>
          <t>Approaching 7,600</t>
        </is>
      </c>
      <c r="J20" s="41" t="inlineStr">
        <is>
          <t>Record 7,599.96</t>
        </is>
      </c>
    </row>
    <row r="21" ht="36" customHeight="1" s="49">
      <c r="A21" s="9" t="inlineStr">
        <is>
          <t>Jun 2</t>
        </is>
      </c>
      <c r="B21" s="41" t="n">
        <v>7609.78</v>
      </c>
      <c r="C21" s="41" t="n"/>
      <c r="D21" s="41" t="n">
        <v>0.0013</v>
      </c>
      <c r="E21" s="41" t="n"/>
      <c r="F21" s="41" t="n"/>
      <c r="G21" s="41" t="n"/>
      <c r="H21" s="41" t="inlineStr">
        <is>
          <t>BUY</t>
        </is>
      </c>
      <c r="I21" s="41" t="inlineStr">
        <is>
          <t>Goldman 7,600 met</t>
        </is>
      </c>
      <c r="J21" s="41" t="inlineStr">
        <is>
          <t>Record 7,609.78</t>
        </is>
      </c>
    </row>
    <row r="22" ht="36" customHeight="1" s="49">
      <c r="A22" s="10" t="inlineStr">
        <is>
          <t>Jun 5</t>
        </is>
      </c>
      <c r="B22" s="29" t="n">
        <v>7383.74</v>
      </c>
      <c r="C22" s="29" t="n"/>
      <c r="D22" s="29" t="n">
        <v>-0.0264</v>
      </c>
      <c r="E22" s="29" t="n"/>
      <c r="F22" s="29" t="n"/>
      <c r="G22" s="29" t="n"/>
      <c r="H22" s="29" t="inlineStr">
        <is>
          <t>SELL</t>
        </is>
      </c>
      <c r="I22" s="29" t="inlineStr">
        <is>
          <t>Post-record chip rout</t>
        </is>
      </c>
      <c r="J22" s="29" t="inlineStr">
        <is>
          <t>SOX -10.3%</t>
        </is>
      </c>
    </row>
    <row r="23" ht="36" customHeight="1" s="49">
      <c r="A23" s="10" t="inlineStr">
        <is>
          <t>Jun 17</t>
        </is>
      </c>
      <c r="B23" s="29" t="n">
        <v>7420.1</v>
      </c>
      <c r="C23" s="29" t="n"/>
      <c r="D23" s="29" t="n">
        <v>-0.0121</v>
      </c>
      <c r="E23" s="29" t="n"/>
      <c r="F23" s="29" t="n"/>
      <c r="G23" s="29" t="n"/>
      <c r="H23" s="29" t="inlineStr">
        <is>
          <t>SELL</t>
        </is>
      </c>
      <c r="I23" s="29" t="inlineStr">
        <is>
          <t>Fed regime change</t>
        </is>
      </c>
      <c r="J23" s="29" t="inlineStr">
        <is>
          <t>Warsh; 9/18 hike</t>
        </is>
      </c>
    </row>
    <row r="24" ht="36" customHeight="1" s="49">
      <c r="A24" s="10" t="inlineStr">
        <is>
          <t>Jun 18</t>
        </is>
      </c>
      <c r="B24" s="29" t="n">
        <v>7500.58</v>
      </c>
      <c r="C24" s="29" t="n">
        <v>80.48</v>
      </c>
      <c r="D24" s="29" t="n">
        <v>0.0108</v>
      </c>
      <c r="E24" s="29" t="n"/>
      <c r="F24" s="29" t="n"/>
      <c r="G24" s="29" t="n"/>
      <c r="H24" s="29" t="inlineStr">
        <is>
          <t>BUY</t>
        </is>
      </c>
      <c r="I24" s="29" t="inlineStr">
        <is>
          <t>Recovery</t>
        </is>
      </c>
      <c r="J24" s="29" t="inlineStr">
        <is>
          <t>Chips comeback</t>
        </is>
      </c>
    </row>
    <row r="25" ht="36" customHeight="1" s="49">
      <c r="A25" s="10" t="inlineStr">
        <is>
          <t>Jun 22</t>
        </is>
      </c>
      <c r="B25" s="29" t="n">
        <v>7509</v>
      </c>
      <c r="C25" s="29" t="n">
        <v>8.42</v>
      </c>
      <c r="D25" s="29" t="n">
        <v>0.0012</v>
      </c>
      <c r="E25" s="29" t="n"/>
      <c r="F25" s="29" t="n"/>
      <c r="G25" s="29" t="n"/>
      <c r="H25" s="29" t="inlineStr">
        <is>
          <t>HOLD</t>
        </is>
      </c>
      <c r="I25" s="29" t="inlineStr">
        <is>
          <t>Consolidation</t>
        </is>
      </c>
      <c r="J25" s="29" t="inlineStr">
        <is>
          <t>Rebalance</t>
        </is>
      </c>
    </row>
    <row r="26" ht="36" customHeight="1" s="49">
      <c r="A26" s="10" t="inlineStr">
        <is>
          <t>Jun 23</t>
        </is>
      </c>
      <c r="B26" s="29" t="n">
        <v>7365.46</v>
      </c>
      <c r="C26" s="29" t="n">
        <v>-143.54</v>
      </c>
      <c r="D26" s="29" t="n">
        <v>-0.0144</v>
      </c>
      <c r="E26" s="29" t="n"/>
      <c r="F26" s="29" t="n"/>
      <c r="G26" s="29" t="n"/>
      <c r="H26" s="29" t="inlineStr">
        <is>
          <t>SELL</t>
        </is>
      </c>
      <c r="I26" s="29" t="inlineStr">
        <is>
          <t>BofA 3-hike shock</t>
        </is>
      </c>
      <c r="J26" s="29" t="inlineStr">
        <is>
          <t>SMH -6.5%</t>
        </is>
      </c>
    </row>
    <row r="27" ht="36" customHeight="1" s="49">
      <c r="A27" s="10" t="inlineStr">
        <is>
          <t>Jun 24</t>
        </is>
      </c>
      <c r="B27" s="29" t="n">
        <v>7358.22</v>
      </c>
      <c r="C27" s="29" t="n">
        <v>-7.24</v>
      </c>
      <c r="D27" s="29" t="n">
        <v>-0.001</v>
      </c>
      <c r="E27" s="29" t="n"/>
      <c r="F27" s="29" t="n"/>
      <c r="G27" s="29" t="n"/>
      <c r="H27" s="29" t="inlineStr">
        <is>
          <t>HOLD</t>
        </is>
      </c>
      <c r="I27" s="29" t="inlineStr">
        <is>
          <t>Rotation</t>
        </is>
      </c>
      <c r="J27" s="29" t="inlineStr">
        <is>
          <t>Pre-Micron</t>
        </is>
      </c>
    </row>
    <row r="28" ht="36" customHeight="1" s="49">
      <c r="A28" s="10" t="inlineStr">
        <is>
          <t>Jun 25</t>
        </is>
      </c>
      <c r="B28" s="29" t="n">
        <v>7357.49</v>
      </c>
      <c r="C28" s="29" t="n">
        <v>-0.73</v>
      </c>
      <c r="D28" s="29" t="n">
        <v>-0.0001</v>
      </c>
      <c r="E28" s="29" t="n"/>
      <c r="F28" s="29" t="n"/>
      <c r="G28" s="29" t="n"/>
      <c r="H28" s="29" t="inlineStr">
        <is>
          <t>HOLD</t>
        </is>
      </c>
      <c r="I28" s="29" t="inlineStr">
        <is>
          <t>Flat</t>
        </is>
      </c>
      <c r="J28" s="29" t="inlineStr">
        <is>
          <t>Tech drag</t>
        </is>
      </c>
    </row>
    <row r="29" ht="36" customHeight="1" s="49">
      <c r="A29" s="10" t="inlineStr">
        <is>
          <t>Jun 29</t>
        </is>
      </c>
      <c r="B29" s="29" t="n">
        <v>7445</v>
      </c>
      <c r="C29" s="29" t="n"/>
      <c r="D29" s="29" t="n">
        <v>0.012</v>
      </c>
      <c r="E29" s="29" t="n"/>
      <c r="F29" s="29" t="n"/>
      <c r="G29" s="29" t="n"/>
      <c r="H29" s="29" t="inlineStr">
        <is>
          <t>BUY</t>
        </is>
      </c>
      <c r="I29" s="29" t="inlineStr">
        <is>
          <t>Dow &gt;52k</t>
        </is>
      </c>
      <c r="J29" s="29" t="inlineStr">
        <is>
          <t>Derived +1.2%</t>
        </is>
      </c>
    </row>
    <row r="30" ht="36" customHeight="1" s="49">
      <c r="A30" s="10" t="inlineStr">
        <is>
          <t>Jun 30</t>
        </is>
      </c>
      <c r="B30" s="29" t="n">
        <v>7449.36</v>
      </c>
      <c r="C30" s="29" t="n">
        <v>4.36</v>
      </c>
      <c r="D30" s="29" t="n">
        <v>0.0003</v>
      </c>
      <c r="E30" s="29" t="n"/>
      <c r="F30" s="29" t="n"/>
      <c r="G30" s="29" t="n"/>
      <c r="H30" s="29" t="inlineStr">
        <is>
          <t>HOLD</t>
        </is>
      </c>
      <c r="I30" s="29" t="inlineStr">
        <is>
          <t>Best quarter since 2020</t>
        </is>
      </c>
      <c r="J30" s="29" t="inlineStr">
        <is>
          <t>Q2 close</t>
        </is>
      </c>
    </row>
    <row r="31" ht="36" customHeight="1" s="49">
      <c r="A31" s="10" t="inlineStr">
        <is>
          <t>Jul 1</t>
        </is>
      </c>
      <c r="B31" s="29" t="n">
        <v>7483</v>
      </c>
      <c r="C31" s="29" t="n"/>
      <c r="D31" s="29" t="n">
        <v>0.0045</v>
      </c>
      <c r="E31" s="29" t="n"/>
      <c r="F31" s="29" t="n"/>
      <c r="G31" s="29" t="n"/>
      <c r="H31" s="29" t="inlineStr">
        <is>
          <t>BUY</t>
        </is>
      </c>
      <c r="I31" s="29" t="inlineStr">
        <is>
          <t>Q3; Dow record</t>
        </is>
      </c>
      <c r="J31" s="29" t="inlineStr">
        <is>
          <t>Derived</t>
        </is>
      </c>
    </row>
    <row r="32" ht="36" customHeight="1" s="49">
      <c r="A32" s="10" t="inlineStr">
        <is>
          <t>Jul 2</t>
        </is>
      </c>
      <c r="B32" s="29" t="n">
        <v>7453.96</v>
      </c>
      <c r="C32" s="29" t="n"/>
      <c r="D32" s="29" t="n">
        <v>-0.0039</v>
      </c>
      <c r="E32" s="29" t="n"/>
      <c r="F32" s="29" t="n"/>
      <c r="G32" s="29" t="n"/>
      <c r="H32" s="29" t="inlineStr">
        <is>
          <t>HOLD</t>
        </is>
      </c>
      <c r="I32" s="29" t="inlineStr">
        <is>
          <t>Weak jobs 57k</t>
        </is>
      </c>
      <c r="J32" s="29" t="inlineStr">
        <is>
          <t>Unemp 4.2%</t>
        </is>
      </c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zoomScaleNormal="100" workbookViewId="0">
      <pane xSplit="1" ySplit="4" topLeftCell="B5" activePane="bottomRight" state="frozen"/>
      <selection pane="bottomLeft" activeCell="A5" sqref="A5"/>
      <selection pane="topRight" activeCell="B1" sqref="B1"/>
      <selection pane="bottomRight" activeCell="I20" sqref="I20"/>
    </sheetView>
  </sheetViews>
  <sheetFormatPr baseColWidth="8" defaultColWidth="8.609375" defaultRowHeight="15"/>
  <cols>
    <col width="20.71484375" customWidth="1" style="49" min="1" max="1"/>
    <col width="26.76953125" customWidth="1" style="49" min="2" max="2"/>
    <col width="50.984375" customWidth="1" style="49" min="3" max="3"/>
    <col width="13.98828125" customWidth="1" style="49" min="4" max="4"/>
    <col width="9.953125" customWidth="1" style="49" min="5" max="5"/>
    <col width="11.02734375" customWidth="1" style="49" min="6" max="7"/>
    <col width="46.2734375" customWidth="1" style="49" min="8" max="8"/>
  </cols>
  <sheetData>
    <row r="1" ht="24" customHeight="1" s="49">
      <c r="A1" s="48" t="inlineStr">
        <is>
          <t>CRUDE OIL PRICE TRACKER — WTI &amp; BRENT</t>
        </is>
      </c>
    </row>
    <row r="2">
      <c r="A2" s="50" t="inlineStr">
        <is>
          <t>Daily closes | Spread analysis | Geopolitical drivers</t>
        </is>
      </c>
    </row>
    <row r="3"/>
    <row r="4" ht="30" customHeight="1" s="49">
      <c r="A4" s="11" t="inlineStr">
        <is>
          <t>Date</t>
        </is>
      </c>
      <c r="B4" s="11" t="inlineStr">
        <is>
          <t>WTI ($/bbl)</t>
        </is>
      </c>
      <c r="C4" s="11" t="inlineStr">
        <is>
          <t>Brent ($/bbl)</t>
        </is>
      </c>
      <c r="D4" s="11" t="inlineStr">
        <is>
          <t>WTI-Brent Spread</t>
        </is>
      </c>
      <c r="E4" s="11" t="inlineStr">
        <is>
          <t>WTI Δ%</t>
        </is>
      </c>
      <c r="F4" s="11" t="inlineStr">
        <is>
          <t>Brent MTD%</t>
        </is>
      </c>
      <c r="G4" s="11" t="inlineStr">
        <is>
          <t>Brent YoY%</t>
        </is>
      </c>
      <c r="H4" s="11" t="inlineStr">
        <is>
          <t>Geo Driver</t>
        </is>
      </c>
    </row>
    <row r="5" ht="36" customHeight="1" s="49">
      <c r="A5" s="22" t="inlineStr">
        <is>
          <t>Apr 20</t>
        </is>
      </c>
      <c r="B5" s="23" t="n">
        <v>96.26000000000001</v>
      </c>
      <c r="C5" s="23" t="n">
        <v>96.26000000000001</v>
      </c>
      <c r="D5" s="23">
        <f>C5-B5</f>
        <v/>
      </c>
      <c r="E5" s="24" t="n">
        <v>0</v>
      </c>
      <c r="F5" s="24">
        <f>(C5-102)/102</f>
        <v/>
      </c>
      <c r="G5" s="24">
        <f>(C5-65.83)/65.83</f>
        <v/>
      </c>
      <c r="H5" s="20" t="inlineStr">
        <is>
          <t>ME risk premium intact</t>
        </is>
      </c>
    </row>
    <row r="6" ht="36" customHeight="1" s="49">
      <c r="A6" s="22" t="inlineStr">
        <is>
          <t>Apr 22</t>
        </is>
      </c>
      <c r="B6" s="23" t="n">
        <v>96</v>
      </c>
      <c r="C6" s="23" t="n">
        <v>96.5</v>
      </c>
      <c r="D6" s="23">
        <f>C6-B6</f>
        <v/>
      </c>
      <c r="E6" s="24">
        <f>(B6-B5)/B5</f>
        <v/>
      </c>
      <c r="F6" s="24">
        <f>(C6-102)/102</f>
        <v/>
      </c>
      <c r="G6" s="24">
        <f>(C6-65.83)/65.83</f>
        <v/>
      </c>
      <c r="H6" s="20" t="inlineStr">
        <is>
          <t>Geopolitical tension elevated</t>
        </is>
      </c>
    </row>
    <row r="7" ht="36" customHeight="1" s="49">
      <c r="A7" s="22" t="inlineStr">
        <is>
          <t>Apr 23</t>
        </is>
      </c>
      <c r="B7" s="23" t="n">
        <v>95.5</v>
      </c>
      <c r="C7" s="23" t="n">
        <v>96</v>
      </c>
      <c r="D7" s="23">
        <f>C7-B7</f>
        <v/>
      </c>
      <c r="E7" s="24">
        <f>(B7-B6)/B6</f>
        <v/>
      </c>
      <c r="F7" s="24">
        <f>(C7-102)/102</f>
        <v/>
      </c>
      <c r="G7" s="24">
        <f>(C7-65.83)/65.83</f>
        <v/>
      </c>
      <c r="H7" s="20" t="inlineStr">
        <is>
          <t>US-Iran talks tempering bid</t>
        </is>
      </c>
    </row>
    <row r="8" ht="36" customHeight="1" s="49">
      <c r="A8" s="22" t="inlineStr">
        <is>
          <t>Apr 24</t>
        </is>
      </c>
      <c r="B8" s="23" t="n">
        <v>94.40000000000001</v>
      </c>
      <c r="C8" s="23" t="n">
        <v>105.33</v>
      </c>
      <c r="D8" s="23">
        <f>C8-B8</f>
        <v/>
      </c>
      <c r="E8" s="24">
        <f>(B8-B7)/B7</f>
        <v/>
      </c>
      <c r="F8" s="24">
        <f>(C8-102)/102</f>
        <v/>
      </c>
      <c r="G8" s="24">
        <f>(C8-65.83)/65.83</f>
        <v/>
      </c>
      <c r="H8" s="20" t="inlineStr">
        <is>
          <t>WTI retreats on US-Iran talks; Brent elevated on ME risk premium</t>
        </is>
      </c>
    </row>
    <row r="9" ht="36" customHeight="1" s="49">
      <c r="A9" s="22" t="inlineStr">
        <is>
          <t>Apr 25</t>
        </is>
      </c>
      <c r="B9" s="23" t="n">
        <v>94.04000000000001</v>
      </c>
      <c r="C9" s="23" t="n">
        <v>105.33</v>
      </c>
      <c r="D9" s="23">
        <f>C9-B9</f>
        <v/>
      </c>
      <c r="E9" s="24">
        <f>(B9-B8)/B8</f>
        <v/>
      </c>
      <c r="F9" s="24">
        <f>(C9-102)/102</f>
        <v/>
      </c>
      <c r="G9" s="24">
        <f>(C9-65.83)/65.83</f>
        <v/>
      </c>
      <c r="H9" s="20" t="inlineStr">
        <is>
          <t>Diplomacy progress; ME de-escalation</t>
        </is>
      </c>
    </row>
    <row r="10" ht="36" customHeight="1" s="49">
      <c r="A10" s="22" t="inlineStr">
        <is>
          <t>Apr 26</t>
        </is>
      </c>
      <c r="B10" s="23" t="n">
        <v>93.68000000000001</v>
      </c>
      <c r="C10" s="23" t="n">
        <v>105.2</v>
      </c>
      <c r="D10" s="23">
        <f>C10-B10</f>
        <v/>
      </c>
      <c r="E10" s="24">
        <f>(B10-B9)/B9</f>
        <v/>
      </c>
      <c r="F10" s="24">
        <f>(C10-102)/102</f>
        <v/>
      </c>
      <c r="G10" s="24">
        <f>(C10-65.83)/65.83</f>
        <v/>
      </c>
      <c r="H10" s="20" t="inlineStr">
        <is>
          <t>Diplomacy progress; geopolitical premium easing</t>
        </is>
      </c>
    </row>
    <row r="11" ht="36" customHeight="1" s="49">
      <c r="A11" s="25" t="inlineStr">
        <is>
          <t>Apr 27</t>
        </is>
      </c>
      <c r="B11" s="26" t="n">
        <v>95.5</v>
      </c>
      <c r="C11" s="26" t="n">
        <v>107</v>
      </c>
      <c r="D11" s="26">
        <f>C11-B11</f>
        <v/>
      </c>
      <c r="E11" s="27">
        <f>(B11-B10)/B10</f>
        <v/>
      </c>
      <c r="F11" s="27">
        <f>(C11-102)/102</f>
        <v/>
      </c>
      <c r="G11" s="27">
        <f>(C11-65.83)/65.83</f>
        <v/>
      </c>
      <c r="H11" s="21" t="inlineStr">
        <is>
          <t>Hormuz risk back; supply concerns</t>
        </is>
      </c>
    </row>
    <row r="12" ht="36" customHeight="1" s="49">
      <c r="A12" s="25" t="inlineStr">
        <is>
          <t>Apr 28</t>
        </is>
      </c>
      <c r="B12" s="26" t="n">
        <v>96</v>
      </c>
      <c r="C12" s="26" t="n">
        <v>108</v>
      </c>
      <c r="D12" s="26">
        <f>C12-B12</f>
        <v/>
      </c>
      <c r="E12" s="27">
        <f>(B12-B11)/B11</f>
        <v/>
      </c>
      <c r="F12" s="27">
        <f>(C12-102)/102</f>
        <v/>
      </c>
      <c r="G12" s="27">
        <f>(C12-65.83)/65.83</f>
        <v/>
      </c>
      <c r="H12" s="21" t="inlineStr">
        <is>
          <t>Ceasefire fragile but holding</t>
        </is>
      </c>
    </row>
    <row r="13" ht="36" customHeight="1" s="49">
      <c r="A13" s="25" t="inlineStr">
        <is>
          <t>Apr 29</t>
        </is>
      </c>
      <c r="B13" s="26" t="n">
        <v>96.5</v>
      </c>
      <c r="C13" s="26" t="n">
        <v>108.5</v>
      </c>
      <c r="D13" s="26">
        <f>C13-B13</f>
        <v/>
      </c>
      <c r="E13" s="27">
        <f>(B13-B12)/B12</f>
        <v/>
      </c>
      <c r="F13" s="27">
        <f>(C13-102)/102</f>
        <v/>
      </c>
      <c r="G13" s="27">
        <f>(C13-65.83)/65.83</f>
        <v/>
      </c>
      <c r="H13" s="21" t="inlineStr">
        <is>
          <t>Supply-side firmness</t>
        </is>
      </c>
    </row>
    <row r="14" ht="36" customHeight="1" s="49">
      <c r="A14" s="25" t="inlineStr">
        <is>
          <t>Apr 30</t>
        </is>
      </c>
      <c r="B14" s="26" t="n">
        <v>95.8</v>
      </c>
      <c r="C14" s="26" t="n">
        <v>107.8</v>
      </c>
      <c r="D14" s="26">
        <f>C14-B14</f>
        <v/>
      </c>
      <c r="E14" s="27">
        <f>(B14-B13)/B13</f>
        <v/>
      </c>
      <c r="F14" s="27">
        <f>(C14-102)/102</f>
        <v/>
      </c>
      <c r="G14" s="27">
        <f>(C14-65.83)/65.83</f>
        <v/>
      </c>
      <c r="H14" s="21" t="inlineStr">
        <is>
          <t>Diplomacy progress</t>
        </is>
      </c>
    </row>
    <row r="15" ht="36" customHeight="1" s="49">
      <c r="A15" s="25" t="inlineStr">
        <is>
          <t>May 1</t>
        </is>
      </c>
      <c r="B15" s="26" t="n">
        <v>95</v>
      </c>
      <c r="C15" s="26" t="n">
        <v>107</v>
      </c>
      <c r="D15" s="26">
        <f>C15-B15</f>
        <v/>
      </c>
      <c r="E15" s="27">
        <f>(B15-B14)/B14</f>
        <v/>
      </c>
      <c r="F15" s="27">
        <f>(C15-102)/102</f>
        <v/>
      </c>
      <c r="G15" s="27">
        <f>(C15-65.83)/65.83</f>
        <v/>
      </c>
      <c r="H15" s="21" t="inlineStr">
        <is>
          <t>US-Iran ceasefire progress; oil softens as equities rally</t>
        </is>
      </c>
    </row>
    <row r="16" ht="36" customHeight="1" s="49">
      <c r="A16" s="25" t="inlineStr">
        <is>
          <t>May 4</t>
        </is>
      </c>
      <c r="B16" s="26" t="n">
        <v>102.27</v>
      </c>
      <c r="C16" s="26" t="n">
        <v>109.87</v>
      </c>
      <c r="D16" s="26">
        <f>C16-B16</f>
        <v/>
      </c>
      <c r="E16" s="27">
        <f>(B16-B15)/B15</f>
        <v/>
      </c>
      <c r="F16" s="27">
        <f>(C16-102)/102</f>
        <v/>
      </c>
      <c r="G16" s="27">
        <f>(C16-65.83)/65.83</f>
        <v/>
      </c>
      <c r="H16" s="21" t="inlineStr">
        <is>
          <t>UAE missile intercept; Strait of Hormuz tension resurgent</t>
        </is>
      </c>
    </row>
    <row r="17" ht="36" customHeight="1" s="49">
      <c r="A17" s="25" t="inlineStr">
        <is>
          <t>May 5</t>
        </is>
      </c>
      <c r="B17" s="26" t="n">
        <v>102.27</v>
      </c>
      <c r="C17" s="26" t="n">
        <v>109.87</v>
      </c>
      <c r="D17" s="26">
        <f>C17-B17</f>
        <v/>
      </c>
      <c r="E17" s="27">
        <f>(B17-B16)/B16</f>
        <v/>
      </c>
      <c r="F17" s="27">
        <f>(C17-102)/102</f>
        <v/>
      </c>
      <c r="G17" s="27">
        <f>(C17-65.83)/65.83</f>
        <v/>
      </c>
      <c r="H17" s="21" t="inlineStr">
        <is>
          <t>WTI -3.9%, Brent -3.99% on Hegseth ceasefire reaffirm</t>
        </is>
      </c>
    </row>
    <row r="18" ht="36" customHeight="1" s="49">
      <c r="A18" s="41" t="inlineStr">
        <is>
          <t>May 15</t>
        </is>
      </c>
      <c r="B18" s="41" t="n"/>
      <c r="C18" s="41" t="n"/>
      <c r="D18" s="41" t="n"/>
      <c r="E18" s="41" t="n"/>
      <c r="F18" s="41" t="n"/>
      <c r="G18" s="41" t="n"/>
      <c r="H18" s="41" t="inlineStr">
        <is>
          <t>Data gap — milestone period only</t>
        </is>
      </c>
    </row>
    <row r="19" ht="36" customHeight="1" s="49">
      <c r="A19" s="29" t="inlineStr">
        <is>
          <t>Jun 5</t>
        </is>
      </c>
      <c r="B19" s="29" t="n">
        <v>93.45</v>
      </c>
      <c r="C19" s="29" t="n">
        <v>97.44</v>
      </c>
      <c r="D19" s="29" t="n">
        <v>3.99</v>
      </c>
      <c r="E19" s="29" t="n"/>
      <c r="F19" s="29" t="n"/>
      <c r="G19" s="29" t="n"/>
      <c r="H19" s="29" t="inlineStr">
        <is>
          <t>Post-Hormuz-peak pullback; Brent fades from &gt;$113 May high as chip rout hits risk sentiment</t>
        </is>
      </c>
    </row>
    <row r="20" ht="36" customHeight="1" s="49">
      <c r="A20" s="29" t="inlineStr">
        <is>
          <t>Jun 20</t>
        </is>
      </c>
      <c r="B20" s="29" t="n">
        <v>77.54000000000001</v>
      </c>
      <c r="C20" s="29" t="n">
        <v>80.56999999999999</v>
      </c>
      <c r="D20" s="29" t="n">
        <v>3.03</v>
      </c>
      <c r="E20" s="29" t="n"/>
      <c r="F20" s="29" t="n"/>
      <c r="G20" s="29" t="n"/>
      <c r="H20" s="29" t="inlineStr">
        <is>
          <t>Iran re-closed Hormuz; ceasefire tentative</t>
        </is>
      </c>
    </row>
    <row r="21" ht="36" customHeight="1" s="49">
      <c r="A21" s="29" t="inlineStr">
        <is>
          <t>Jun 22</t>
        </is>
      </c>
      <c r="B21" s="29" t="n">
        <v>74.3</v>
      </c>
      <c r="C21" s="29" t="n">
        <v>78.41</v>
      </c>
      <c r="D21" s="29" t="n">
        <v>4.11</v>
      </c>
      <c r="E21" s="29" t="n"/>
      <c r="F21" s="29" t="n"/>
      <c r="G21" s="29" t="n"/>
      <c r="H21" s="29" t="inlineStr">
        <is>
          <t>VP Vance 'good foundation'</t>
        </is>
      </c>
    </row>
    <row r="22" ht="36" customHeight="1" s="49">
      <c r="A22" s="29" t="inlineStr">
        <is>
          <t>Jun 23</t>
        </is>
      </c>
      <c r="B22" s="29" t="n">
        <v>73.40000000000001</v>
      </c>
      <c r="C22" s="29" t="n">
        <v>78</v>
      </c>
      <c r="D22" s="29" t="n">
        <v>4.6</v>
      </c>
      <c r="E22" s="29" t="n"/>
      <c r="F22" s="29" t="n"/>
      <c r="G22" s="29" t="n"/>
      <c r="H22" s="29" t="inlineStr">
        <is>
          <t>BofA 3-hike shock; US-Iran sanctions waiver bearish for oil</t>
        </is>
      </c>
    </row>
    <row r="23" ht="36" customHeight="1" s="49">
      <c r="A23" s="29" t="inlineStr">
        <is>
          <t>Jun 26</t>
        </is>
      </c>
      <c r="B23" s="29" t="n">
        <v>69.5</v>
      </c>
      <c r="C23" s="29" t="n"/>
      <c r="D23" s="29" t="n"/>
      <c r="E23" s="29" t="n"/>
      <c r="F23" s="29" t="n"/>
      <c r="G23" s="29" t="n"/>
      <c r="H23" s="29" t="inlineStr">
        <is>
          <t>BofA hawkish shock; Iran sanctions waiver bearish for oil</t>
        </is>
      </c>
    </row>
    <row r="24" ht="36" customHeight="1" s="49">
      <c r="A24" s="29" t="inlineStr">
        <is>
          <t>Jun 29</t>
        </is>
      </c>
      <c r="B24" s="29" t="n"/>
      <c r="C24" s="29" t="n">
        <v>73.17</v>
      </c>
      <c r="D24" s="29" t="n"/>
      <c r="E24" s="29" t="n"/>
      <c r="F24" s="29" t="n"/>
      <c r="G24" s="29" t="n"/>
      <c r="H24" s="29" t="inlineStr">
        <is>
          <t>Renewed US-Iran strikes</t>
        </is>
      </c>
    </row>
    <row r="25" ht="36" customHeight="1" s="49">
      <c r="A25" s="29" t="inlineStr">
        <is>
          <t>Jul 1</t>
        </is>
      </c>
      <c r="B25" s="29" t="n">
        <v>68.58</v>
      </c>
      <c r="C25" s="29" t="n">
        <v>71.56999999999999</v>
      </c>
      <c r="D25" s="29" t="n">
        <v>2.99</v>
      </c>
      <c r="E25" s="29" t="n"/>
      <c r="F25" s="29" t="n"/>
      <c r="G25" s="29" t="n"/>
      <c r="H25" s="29" t="inlineStr">
        <is>
          <t>Iran exports surge &gt;40M bbls; &gt;10M bpd via Hormuz</t>
        </is>
      </c>
    </row>
    <row r="26" ht="36" customHeight="1" s="49">
      <c r="A26" s="29" t="inlineStr">
        <is>
          <t>Jul 2</t>
        </is>
      </c>
      <c r="B26" s="29" t="n">
        <v>68.58</v>
      </c>
      <c r="C26" s="29" t="n">
        <v>71.56999999999999</v>
      </c>
      <c r="D26" s="29" t="n">
        <v>0</v>
      </c>
      <c r="E26" s="29" t="n"/>
      <c r="F26" s="29" t="n"/>
      <c r="G26" s="29" t="n"/>
      <c r="H26" s="29" t="inlineStr">
        <is>
          <t>Crude &lt;$68 (lowest since late Feb); Brent -21% June</t>
        </is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zoomScaleNormal="100" workbookViewId="0">
      <pane xSplit="1" ySplit="4" topLeftCell="B5" activePane="bottomRight" state="frozen"/>
      <selection pane="bottomLeft" activeCell="A5" sqref="A5"/>
      <selection pane="topRight" activeCell="B1" sqref="B1"/>
      <selection pane="bottomRight" activeCell="H7" sqref="H7"/>
    </sheetView>
  </sheetViews>
  <sheetFormatPr baseColWidth="8" defaultColWidth="8.609375" defaultRowHeight="15"/>
  <cols>
    <col width="9.01171875" customWidth="1" style="49" min="1" max="1"/>
    <col width="11.97265625" customWidth="1" style="49" min="2" max="2"/>
    <col width="13.98828125" customWidth="1" style="49" min="3" max="3"/>
    <col width="50.04296875" customWidth="1" style="49" min="4" max="4"/>
    <col width="22.05859375" customWidth="1" style="49" min="5" max="5"/>
    <col width="13.98828125" customWidth="1" style="49" min="6" max="6"/>
    <col width="27.98046875" customWidth="1" style="49" min="7" max="7"/>
    <col width="11.02734375" customWidth="1" style="49" min="8" max="8"/>
  </cols>
  <sheetData>
    <row r="1" ht="24" customHeight="1" s="49">
      <c r="A1" s="48" t="inlineStr">
        <is>
          <t>SECTOR INTELLIGENCE LOG — AI | M&amp;A/PE | HEALTHCARE | DEFENSE | OIL</t>
        </is>
      </c>
    </row>
    <row r="2">
      <c r="A2" s="50" t="inlineStr">
        <is>
          <t>Key deals, signals, and developments by sector</t>
        </is>
      </c>
    </row>
    <row r="4" ht="30" customHeight="1" s="49">
      <c r="A4" s="11" t="inlineStr">
        <is>
          <t>Date</t>
        </is>
      </c>
      <c r="B4" s="11" t="inlineStr">
        <is>
          <t>Sector</t>
        </is>
      </c>
      <c r="C4" s="11" t="inlineStr">
        <is>
          <t>Category</t>
        </is>
      </c>
      <c r="D4" s="11" t="inlineStr">
        <is>
          <t>Headline</t>
        </is>
      </c>
      <c r="E4" s="11" t="inlineStr">
        <is>
          <t>Value / Metric</t>
        </is>
      </c>
      <c r="F4" s="11" t="inlineStr">
        <is>
          <t>Signal</t>
        </is>
      </c>
      <c r="G4" s="11" t="inlineStr">
        <is>
          <t>Source/Context</t>
        </is>
      </c>
      <c r="H4" s="11" t="inlineStr">
        <is>
          <t>Impact Rating</t>
        </is>
      </c>
    </row>
    <row r="5" ht="36" customHeight="1" s="49">
      <c r="A5" s="21" t="inlineStr">
        <is>
          <t>Apr 27</t>
        </is>
      </c>
      <c r="B5" s="21" t="inlineStr">
        <is>
          <t>M&amp;A</t>
        </is>
      </c>
      <c r="C5" s="21" t="inlineStr">
        <is>
          <t>PE Acquisition</t>
        </is>
      </c>
      <c r="D5" s="21" t="inlineStr">
        <is>
          <t>Apollo acquires Forvia auto interiors</t>
        </is>
      </c>
      <c r="E5" s="21" t="inlineStr">
        <is>
          <t>$2.1B</t>
        </is>
      </c>
      <c r="F5" s="21" t="inlineStr">
        <is>
          <t>BULLISH</t>
        </is>
      </c>
      <c r="G5" s="21" t="inlineStr">
        <is>
          <t>Cross-sector PE</t>
        </is>
      </c>
      <c r="H5" s="21" t="inlineStr">
        <is>
          <t>MEDIUM</t>
        </is>
      </c>
    </row>
    <row r="6" ht="36" customHeight="1" s="49">
      <c r="A6" s="21" t="inlineStr">
        <is>
          <t>Apr 27</t>
        </is>
      </c>
      <c r="B6" s="21" t="inlineStr">
        <is>
          <t>Defense</t>
        </is>
      </c>
      <c r="C6" s="21" t="inlineStr">
        <is>
          <t>Take-Private</t>
        </is>
      </c>
      <c r="D6" s="21" t="inlineStr">
        <is>
          <t>Blackstone consortium / Senior plc UK aerospace</t>
        </is>
      </c>
      <c r="E6" s="21" t="inlineStr">
        <is>
          <t>£1.4B (~$1.9B)</t>
        </is>
      </c>
      <c r="F6" s="21" t="inlineStr">
        <is>
          <t>BULLISH</t>
        </is>
      </c>
      <c r="G6" s="21" t="inlineStr">
        <is>
          <t>UK aero/def consolidation</t>
        </is>
      </c>
      <c r="H6" s="21" t="inlineStr">
        <is>
          <t>MEDIUM</t>
        </is>
      </c>
    </row>
    <row r="7" ht="36" customHeight="1" s="49">
      <c r="A7" s="30" t="inlineStr">
        <is>
          <t>Apr 27</t>
        </is>
      </c>
      <c r="B7" s="30" t="inlineStr">
        <is>
          <t>Healthcare</t>
        </is>
      </c>
      <c r="C7" s="30" t="inlineStr">
        <is>
          <t>Generics M&amp;A</t>
        </is>
      </c>
      <c r="D7" s="30" t="inlineStr">
        <is>
          <t>Sun Pharma acquires Organon</t>
        </is>
      </c>
      <c r="E7" s="30" t="inlineStr">
        <is>
          <t>$11.75B</t>
        </is>
      </c>
      <c r="F7" s="30" t="inlineStr">
        <is>
          <t>BULLISH</t>
        </is>
      </c>
      <c r="G7" s="30" t="inlineStr">
        <is>
          <t>Pharma rollup</t>
        </is>
      </c>
      <c r="H7" s="31" t="inlineStr">
        <is>
          <t>HIGH</t>
        </is>
      </c>
    </row>
    <row r="8" ht="36" customHeight="1" s="49">
      <c r="A8" s="30" t="inlineStr">
        <is>
          <t>Apr 28</t>
        </is>
      </c>
      <c r="B8" s="30" t="inlineStr">
        <is>
          <t>AI</t>
        </is>
      </c>
      <c r="C8" s="30" t="inlineStr">
        <is>
          <t>Earnings Setup</t>
        </is>
      </c>
      <c r="D8" s="30" t="inlineStr">
        <is>
          <t>Mag7 reports begin; hyperscaler capex ~$700B</t>
        </is>
      </c>
      <c r="E8" s="30" t="inlineStr">
        <is>
          <t>—</t>
        </is>
      </c>
      <c r="F8" s="30" t="inlineStr">
        <is>
          <t>BULLISH</t>
        </is>
      </c>
      <c r="G8" s="30" t="inlineStr">
        <is>
          <t>AI capex super-cycle</t>
        </is>
      </c>
      <c r="H8" s="31" t="inlineStr">
        <is>
          <t>HIGH</t>
        </is>
      </c>
    </row>
    <row r="9" ht="36" customHeight="1" s="49">
      <c r="A9" s="30" t="inlineStr">
        <is>
          <t>Apr 29</t>
        </is>
      </c>
      <c r="B9" s="30" t="inlineStr">
        <is>
          <t>Macro</t>
        </is>
      </c>
      <c r="C9" s="30" t="inlineStr">
        <is>
          <t>Fed Decision</t>
        </is>
      </c>
      <c r="D9" s="30" t="inlineStr">
        <is>
          <t>Fed split vote; H2 cut timing unresolved</t>
        </is>
      </c>
      <c r="E9" s="30" t="inlineStr">
        <is>
          <t>10Y→4.41%</t>
        </is>
      </c>
      <c r="F9" s="30" t="inlineStr">
        <is>
          <t>NEUTRAL</t>
        </is>
      </c>
      <c r="G9" s="30" t="inlineStr">
        <is>
          <t>Rate-sensitive headwind</t>
        </is>
      </c>
      <c r="H9" s="31" t="inlineStr">
        <is>
          <t>HIGH</t>
        </is>
      </c>
    </row>
    <row r="10" ht="36" customHeight="1" s="49">
      <c r="A10" s="30" t="inlineStr">
        <is>
          <t>Apr 30</t>
        </is>
      </c>
      <c r="B10" s="30" t="inlineStr">
        <is>
          <t>Equity</t>
        </is>
      </c>
      <c r="C10" s="30" t="inlineStr">
        <is>
          <t>Strategy</t>
        </is>
      </c>
      <c r="D10" s="30" t="inlineStr">
        <is>
          <t>Goldman raises S&amp;P target to 7,600</t>
        </is>
      </c>
      <c r="E10" s="30" t="inlineStr">
        <is>
          <t>+12% EPS growth</t>
        </is>
      </c>
      <c r="F10" s="30" t="inlineStr">
        <is>
          <t>BULLISH</t>
        </is>
      </c>
      <c r="G10" s="30" t="inlineStr">
        <is>
          <t>AI capex tailwind</t>
        </is>
      </c>
      <c r="H10" s="31" t="inlineStr">
        <is>
          <t>HIGH</t>
        </is>
      </c>
    </row>
    <row r="11" ht="36" customHeight="1" s="49">
      <c r="A11" s="30" t="inlineStr">
        <is>
          <t>May 1</t>
        </is>
      </c>
      <c r="B11" s="30" t="inlineStr">
        <is>
          <t>PE</t>
        </is>
      </c>
      <c r="C11" s="30" t="inlineStr">
        <is>
          <t>Q1 Aggregate</t>
        </is>
      </c>
      <c r="D11" s="30" t="inlineStr">
        <is>
          <t>Q1 PE M&amp;A: 614 deals, $154.6B (+12.6% YoY)</t>
        </is>
      </c>
      <c r="E11" s="30" t="inlineStr">
        <is>
          <t>22 deals &gt;$10B (record)</t>
        </is>
      </c>
      <c r="F11" s="30" t="inlineStr">
        <is>
          <t>BULLISH</t>
        </is>
      </c>
      <c r="G11" s="30" t="inlineStr">
        <is>
          <t>Megadeal concentration</t>
        </is>
      </c>
      <c r="H11" s="31" t="inlineStr">
        <is>
          <t>HIGH</t>
        </is>
      </c>
    </row>
    <row r="12" ht="36" customHeight="1" s="49">
      <c r="A12" s="21" t="inlineStr">
        <is>
          <t>May 1</t>
        </is>
      </c>
      <c r="B12" s="21" t="inlineStr">
        <is>
          <t>Equity</t>
        </is>
      </c>
      <c r="C12" s="21" t="inlineStr">
        <is>
          <t>Buybacks</t>
        </is>
      </c>
      <c r="D12" s="21" t="inlineStr">
        <is>
          <t>YTD share buyback authorizations record</t>
        </is>
      </c>
      <c r="E12" s="21" t="inlineStr">
        <is>
          <t>$422B</t>
        </is>
      </c>
      <c r="F12" s="21" t="inlineStr">
        <is>
          <t>BULLISH</t>
        </is>
      </c>
      <c r="G12" s="21" t="inlineStr">
        <is>
          <t>Capital return strength</t>
        </is>
      </c>
      <c r="H12" s="21" t="inlineStr">
        <is>
          <t>MEDIUM</t>
        </is>
      </c>
    </row>
    <row r="13" ht="36" customHeight="1" s="49">
      <c r="A13" s="30" t="inlineStr">
        <is>
          <t>May 4</t>
        </is>
      </c>
      <c r="B13" s="30" t="inlineStr">
        <is>
          <t>Defense</t>
        </is>
      </c>
      <c r="C13" s="30" t="inlineStr">
        <is>
          <t>Geopolitical</t>
        </is>
      </c>
      <c r="D13" s="30" t="inlineStr">
        <is>
          <t>UAE missile intercept; US engages Iran small boats</t>
        </is>
      </c>
      <c r="E13" s="30" t="inlineStr">
        <is>
          <t>—</t>
        </is>
      </c>
      <c r="F13" s="30" t="inlineStr">
        <is>
          <t>BEARISH (oil↑)</t>
        </is>
      </c>
      <c r="G13" s="30" t="inlineStr">
        <is>
          <t>Hormuz tension flare</t>
        </is>
      </c>
      <c r="H13" s="32" t="inlineStr">
        <is>
          <t>HIGH</t>
        </is>
      </c>
    </row>
    <row r="14" ht="36" customHeight="1" s="49">
      <c r="A14" s="30" t="inlineStr">
        <is>
          <t>May 5</t>
        </is>
      </c>
      <c r="B14" s="30" t="inlineStr">
        <is>
          <t>AI</t>
        </is>
      </c>
      <c r="C14" s="30" t="inlineStr">
        <is>
          <t>Semis</t>
        </is>
      </c>
      <c r="D14" s="30" t="inlineStr">
        <is>
          <t>Micron &gt;$700B mkt cap; HBM sold out 2026</t>
        </is>
      </c>
      <c r="E14" s="30" t="inlineStr">
        <is>
          <t>+10% intraday</t>
        </is>
      </c>
      <c r="F14" s="30" t="inlineStr">
        <is>
          <t>BULLISH</t>
        </is>
      </c>
      <c r="G14" s="30" t="inlineStr">
        <is>
          <t>AI memory tightness</t>
        </is>
      </c>
      <c r="H14" s="32" t="inlineStr">
        <is>
          <t>HIGH</t>
        </is>
      </c>
    </row>
    <row r="15" ht="36" customHeight="1" s="49">
      <c r="A15" s="30" t="inlineStr">
        <is>
          <t>May 5</t>
        </is>
      </c>
      <c r="B15" s="30" t="inlineStr">
        <is>
          <t>Energy</t>
        </is>
      </c>
      <c r="C15" s="30" t="inlineStr">
        <is>
          <t>Price Action</t>
        </is>
      </c>
      <c r="D15" s="30" t="inlineStr">
        <is>
          <t>WTI -3.9% to $102.27; Brent -3.99% to $109.87</t>
        </is>
      </c>
      <c r="E15" s="30" t="inlineStr">
        <is>
          <t>Oil-equity inverse correl</t>
        </is>
      </c>
      <c r="F15" s="30" t="inlineStr">
        <is>
          <t>BULLISH equity</t>
        </is>
      </c>
      <c r="G15" s="30" t="inlineStr">
        <is>
          <t>Hegseth ceasefire reaffirm</t>
        </is>
      </c>
      <c r="H15" s="32" t="inlineStr">
        <is>
          <t>HIGH</t>
        </is>
      </c>
    </row>
    <row r="16" ht="36" customHeight="1" s="49">
      <c r="A16" s="30" t="inlineStr">
        <is>
          <t>May 5</t>
        </is>
      </c>
      <c r="B16" s="30" t="inlineStr">
        <is>
          <t>M&amp;A</t>
        </is>
      </c>
      <c r="C16" s="30" t="inlineStr">
        <is>
          <t>Big Tech</t>
        </is>
      </c>
      <c r="D16" s="30" t="inlineStr">
        <is>
          <t>Wiz/Alphabet $32B all-cash advancing</t>
        </is>
      </c>
      <c r="E16" s="30" t="inlineStr">
        <is>
          <t>First major Big Tech deal under FTC Ferguson</t>
        </is>
      </c>
      <c r="F16" s="30" t="inlineStr">
        <is>
          <t>BULLISH</t>
        </is>
      </c>
      <c r="G16" s="30" t="inlineStr">
        <is>
          <t>Regulatory test case</t>
        </is>
      </c>
      <c r="H16" s="32" t="inlineStr">
        <is>
          <t>HIGH</t>
        </is>
      </c>
    </row>
    <row r="17" ht="36" customHeight="1" s="49">
      <c r="A17" s="29" t="inlineStr">
        <is>
          <t>May 14</t>
        </is>
      </c>
      <c r="B17" s="29" t="inlineStr">
        <is>
          <t>Equities</t>
        </is>
      </c>
      <c r="C17" s="29" t="inlineStr">
        <is>
          <t>Milestone</t>
        </is>
      </c>
      <c r="D17" s="29" t="inlineStr">
        <is>
          <t>S&amp;P first close above 7,500</t>
        </is>
      </c>
      <c r="E17" s="29" t="inlineStr">
        <is>
          <t>7,501.39</t>
        </is>
      </c>
      <c r="F17" s="29" t="inlineStr">
        <is>
          <t>BULLISH</t>
        </is>
      </c>
      <c r="G17" s="29" t="inlineStr">
        <is>
          <t>Forbes</t>
        </is>
      </c>
      <c r="H17" s="29" t="inlineStr">
        <is>
          <t>MEDIUM</t>
        </is>
      </c>
    </row>
    <row r="18" ht="36" customHeight="1" s="49">
      <c r="A18" s="33" t="inlineStr">
        <is>
          <t>May 27</t>
        </is>
      </c>
      <c r="B18" s="33" t="inlineStr">
        <is>
          <t>AI</t>
        </is>
      </c>
      <c r="C18" s="33" t="inlineStr">
        <is>
          <t>Milestone</t>
        </is>
      </c>
      <c r="D18" s="33" t="inlineStr">
        <is>
          <t>Micron joins $1T market-cap club</t>
        </is>
      </c>
      <c r="E18" s="33" t="inlineStr">
        <is>
          <t>$1T</t>
        </is>
      </c>
      <c r="F18" s="33" t="inlineStr">
        <is>
          <t>BULLISH</t>
        </is>
      </c>
      <c r="G18" s="33" t="inlineStr">
        <is>
          <t>Fortune</t>
        </is>
      </c>
      <c r="H18" s="34" t="inlineStr">
        <is>
          <t>HIGH</t>
        </is>
      </c>
    </row>
    <row r="19" ht="36" customHeight="1" s="49">
      <c r="A19" s="33" t="inlineStr">
        <is>
          <t>May 29</t>
        </is>
      </c>
      <c r="B19" s="33" t="inlineStr">
        <is>
          <t>PE / AI</t>
        </is>
      </c>
      <c r="C19" s="33" t="inlineStr">
        <is>
          <t>Private Credit</t>
        </is>
      </c>
      <c r="D19" s="33" t="inlineStr">
        <is>
          <t>Apollo &amp; Blackstone package funds Anthropic TPU deal</t>
        </is>
      </c>
      <c r="E19" s="33" t="inlineStr">
        <is>
          <t>$36B</t>
        </is>
      </c>
      <c r="F19" s="33" t="inlineStr">
        <is>
          <t>BULLISH / concentration</t>
        </is>
      </c>
      <c r="G19" s="33" t="inlineStr">
        <is>
          <t>Mega PC into AI</t>
        </is>
      </c>
      <c r="H19" s="34" t="inlineStr">
        <is>
          <t>HIGH</t>
        </is>
      </c>
    </row>
    <row r="20" ht="36" customHeight="1" s="49">
      <c r="A20" s="29" t="inlineStr">
        <is>
          <t>Jun 2</t>
        </is>
      </c>
      <c r="B20" s="29" t="inlineStr">
        <is>
          <t>Equities</t>
        </is>
      </c>
      <c r="C20" s="29" t="inlineStr">
        <is>
          <t>Milestone</t>
        </is>
      </c>
      <c r="D20" s="29" t="inlineStr">
        <is>
          <t>S&amp;P record 7,609.78 (Goldman 7,600 target met early)</t>
        </is>
      </c>
      <c r="E20" s="29" t="inlineStr">
        <is>
          <t>7,609.78</t>
        </is>
      </c>
      <c r="F20" s="29" t="inlineStr">
        <is>
          <t>BULLISH</t>
        </is>
      </c>
      <c r="G20" s="29" t="inlineStr">
        <is>
          <t>CNBC</t>
        </is>
      </c>
      <c r="H20" s="29" t="inlineStr">
        <is>
          <t>MEDIUM</t>
        </is>
      </c>
    </row>
    <row r="21" ht="36" customHeight="1" s="49">
      <c r="A21" s="33" t="inlineStr">
        <is>
          <t>Jun 5</t>
        </is>
      </c>
      <c r="B21" s="33" t="inlineStr">
        <is>
          <t>AI</t>
        </is>
      </c>
      <c r="C21" s="33" t="inlineStr">
        <is>
          <t>Selloff</t>
        </is>
      </c>
      <c r="D21" s="33" t="inlineStr">
        <is>
          <t>Chip rout: SOX -10.3% on Broadcom soft guide</t>
        </is>
      </c>
      <c r="E21" s="33" t="inlineStr">
        <is>
          <t>—</t>
        </is>
      </c>
      <c r="F21" s="33" t="inlineStr">
        <is>
          <t>BEARISH</t>
        </is>
      </c>
      <c r="G21" s="33" t="inlineStr">
        <is>
          <t>Air-pocket #1</t>
        </is>
      </c>
      <c r="H21" s="34" t="inlineStr">
        <is>
          <t>HIGH</t>
        </is>
      </c>
    </row>
    <row r="22" ht="36" customHeight="1" s="49">
      <c r="A22" s="33" t="inlineStr">
        <is>
          <t>Jun 17</t>
        </is>
      </c>
      <c r="B22" s="33" t="inlineStr">
        <is>
          <t>Macro</t>
        </is>
      </c>
      <c r="C22" s="33" t="inlineStr">
        <is>
          <t>Fed</t>
        </is>
      </c>
      <c r="D22" s="33" t="inlineStr">
        <is>
          <t>Regime change: Warsh; 9/18 project 2026 hike</t>
        </is>
      </c>
      <c r="E22" s="33" t="inlineStr">
        <is>
          <t>3.50-3.75%</t>
        </is>
      </c>
      <c r="F22" s="33" t="inlineStr">
        <is>
          <t>BEARISH</t>
        </is>
      </c>
      <c r="G22" s="33" t="inlineStr">
        <is>
          <t>Fed.gov</t>
        </is>
      </c>
      <c r="H22" s="34" t="inlineStr">
        <is>
          <t>HIGH</t>
        </is>
      </c>
    </row>
    <row r="23" ht="36" customHeight="1" s="49">
      <c r="A23" s="29" t="inlineStr">
        <is>
          <t>Jun 19</t>
        </is>
      </c>
      <c r="B23" s="29" t="inlineStr">
        <is>
          <t>PE / Industrials</t>
        </is>
      </c>
      <c r="C23" s="29" t="inlineStr">
        <is>
          <t>Carve-out</t>
        </is>
      </c>
      <c r="D23" s="29" t="inlineStr">
        <is>
          <t>Montagu acquires BMC Helix</t>
        </is>
      </c>
      <c r="E23" s="29" t="inlineStr">
        <is>
          <t>n/d</t>
        </is>
      </c>
      <c r="F23" s="29" t="inlineStr">
        <is>
          <t>BULLISH</t>
        </is>
      </c>
      <c r="G23" s="29" t="inlineStr">
        <is>
          <t>PE Hub</t>
        </is>
      </c>
      <c r="H23" s="29" t="inlineStr">
        <is>
          <t>MEDIUM</t>
        </is>
      </c>
    </row>
    <row r="24" ht="36" customHeight="1" s="49">
      <c r="A24" s="29" t="inlineStr">
        <is>
          <t>Jun 19</t>
        </is>
      </c>
      <c r="B24" s="29" t="inlineStr">
        <is>
          <t>PE / Energy</t>
        </is>
      </c>
      <c r="C24" s="29" t="inlineStr">
        <is>
          <t>Acq+JV</t>
        </is>
      </c>
      <c r="D24" s="29" t="inlineStr">
        <is>
          <t>NextEra / Caliber Resource Partners + Quantum JV</t>
        </is>
      </c>
      <c r="E24" s="29" t="inlineStr">
        <is>
          <t>$1.3B</t>
        </is>
      </c>
      <c r="F24" s="29" t="inlineStr">
        <is>
          <t>BULLISH</t>
        </is>
      </c>
      <c r="G24" s="29" t="inlineStr">
        <is>
          <t>Middle Market</t>
        </is>
      </c>
      <c r="H24" s="29" t="inlineStr">
        <is>
          <t>MEDIUM</t>
        </is>
      </c>
    </row>
    <row r="25" ht="36" customHeight="1" s="49">
      <c r="A25" s="33" t="inlineStr">
        <is>
          <t>Jun 23</t>
        </is>
      </c>
      <c r="B25" s="33" t="inlineStr">
        <is>
          <t>Macro</t>
        </is>
      </c>
      <c r="C25" s="33" t="inlineStr">
        <is>
          <t>Rates</t>
        </is>
      </c>
      <c r="D25" s="33" t="inlineStr">
        <is>
          <t>BofA: 3 Fed hikes 2026 (Sep/Oct/Dec)-&gt;4.25-4.50%</t>
        </is>
      </c>
      <c r="E25" s="33" t="inlineStr">
        <is>
          <t>—</t>
        </is>
      </c>
      <c r="F25" s="33" t="inlineStr">
        <is>
          <t>BEARISH</t>
        </is>
      </c>
      <c r="G25" s="33" t="inlineStr">
        <is>
          <t>CNBC/Fortune</t>
        </is>
      </c>
      <c r="H25" s="34" t="inlineStr">
        <is>
          <t>HIGH</t>
        </is>
      </c>
    </row>
    <row r="26" ht="36" customHeight="1" s="49">
      <c r="A26" s="33" t="inlineStr">
        <is>
          <t>Jun 23</t>
        </is>
      </c>
      <c r="B26" s="33" t="inlineStr">
        <is>
          <t>AI</t>
        </is>
      </c>
      <c r="C26" s="33" t="inlineStr">
        <is>
          <t>Selloff</t>
        </is>
      </c>
      <c r="D26" s="33" t="inlineStr">
        <is>
          <t>SMH -6.5%; KOSPI -9.99% (air-pocket #2)</t>
        </is>
      </c>
      <c r="E26" s="33" t="inlineStr">
        <is>
          <t>—</t>
        </is>
      </c>
      <c r="F26" s="33" t="inlineStr">
        <is>
          <t>BEARISH</t>
        </is>
      </c>
      <c r="G26" s="33" t="inlineStr">
        <is>
          <t>TheStreet</t>
        </is>
      </c>
      <c r="H26" s="34" t="inlineStr">
        <is>
          <t>HIGH</t>
        </is>
      </c>
    </row>
    <row r="27" ht="36" customHeight="1" s="49">
      <c r="A27" s="33" t="inlineStr">
        <is>
          <t>Jun 23</t>
        </is>
      </c>
      <c r="B27" s="33" t="inlineStr">
        <is>
          <t>Oil</t>
        </is>
      </c>
      <c r="C27" s="33" t="inlineStr">
        <is>
          <t>Geopolitical</t>
        </is>
      </c>
      <c r="D27" s="33" t="inlineStr">
        <is>
          <t>US 60-day Iran oil sanctions waiver; 67M bbls unlocked</t>
        </is>
      </c>
      <c r="E27" s="33" t="inlineStr">
        <is>
          <t>67M bbl</t>
        </is>
      </c>
      <c r="F27" s="33" t="inlineStr">
        <is>
          <t>BEARISH (spot oil)</t>
        </is>
      </c>
      <c r="G27" s="33" t="inlineStr">
        <is>
          <t>CNBC</t>
        </is>
      </c>
      <c r="H27" s="34" t="inlineStr">
        <is>
          <t>HIGH</t>
        </is>
      </c>
    </row>
    <row r="28" ht="36" customHeight="1" s="49">
      <c r="A28" s="29" t="inlineStr">
        <is>
          <t>Jun 26</t>
        </is>
      </c>
      <c r="B28" s="29" t="inlineStr">
        <is>
          <t>Oil</t>
        </is>
      </c>
      <c r="C28" s="29" t="inlineStr">
        <is>
          <t>Supply</t>
        </is>
      </c>
      <c r="D28" s="29" t="inlineStr">
        <is>
          <t>WTI &lt;$70 after cargo-ship attack near Oman</t>
        </is>
      </c>
      <c r="E28" s="29" t="inlineStr">
        <is>
          <t>&lt;$70</t>
        </is>
      </c>
      <c r="F28" s="29" t="inlineStr">
        <is>
          <t>BEARISH</t>
        </is>
      </c>
      <c r="G28" s="29" t="inlineStr">
        <is>
          <t>CNBC</t>
        </is>
      </c>
      <c r="H28" s="29" t="inlineStr">
        <is>
          <t>MEDIUM</t>
        </is>
      </c>
    </row>
    <row r="29" ht="36" customHeight="1" s="49">
      <c r="A29" s="29" t="inlineStr">
        <is>
          <t>Jun 29</t>
        </is>
      </c>
      <c r="B29" s="29" t="inlineStr">
        <is>
          <t>Oil</t>
        </is>
      </c>
      <c r="C29" s="29" t="inlineStr">
        <is>
          <t>Geopolitical</t>
        </is>
      </c>
      <c r="D29" s="29" t="inlineStr">
        <is>
          <t>Renewed US-Iran strikes reignite Hormuz fears</t>
        </is>
      </c>
      <c r="E29" s="29" t="inlineStr">
        <is>
          <t>Brent $73.17</t>
        </is>
      </c>
      <c r="F29" s="29" t="inlineStr">
        <is>
          <t>VOLATILE</t>
        </is>
      </c>
      <c r="G29" s="29" t="inlineStr">
        <is>
          <t>CNBC</t>
        </is>
      </c>
      <c r="H29" s="29" t="inlineStr">
        <is>
          <t>MEDIUM</t>
        </is>
      </c>
    </row>
    <row r="30" ht="36" customHeight="1" s="49">
      <c r="A30" s="33" t="inlineStr">
        <is>
          <t>Jun 30</t>
        </is>
      </c>
      <c r="B30" s="33" t="inlineStr">
        <is>
          <t>Equities</t>
        </is>
      </c>
      <c r="C30" s="33" t="inlineStr">
        <is>
          <t>Quarter</t>
        </is>
      </c>
      <c r="D30" s="33" t="inlineStr">
        <is>
          <t>US indexes wrap best quarter since 2020</t>
        </is>
      </c>
      <c r="E30" s="33" t="inlineStr">
        <is>
          <t>—</t>
        </is>
      </c>
      <c r="F30" s="33" t="inlineStr">
        <is>
          <t>BULLISH</t>
        </is>
      </c>
      <c r="G30" s="33" t="inlineStr">
        <is>
          <t>TheStreet</t>
        </is>
      </c>
      <c r="H30" s="34" t="inlineStr">
        <is>
          <t>HIGH</t>
        </is>
      </c>
    </row>
    <row r="31" ht="36" customHeight="1" s="49">
      <c r="A31" s="33" t="inlineStr">
        <is>
          <t>Jul 2</t>
        </is>
      </c>
      <c r="B31" s="33" t="inlineStr">
        <is>
          <t>Macro</t>
        </is>
      </c>
      <c r="C31" s="33" t="inlineStr">
        <is>
          <t>Jobs</t>
        </is>
      </c>
      <c r="D31" s="33" t="inlineStr">
        <is>
          <t>June payrolls 57k vs 113k est; unemployment 4.2%</t>
        </is>
      </c>
      <c r="E31" s="33" t="inlineStr">
        <is>
          <t>57k</t>
        </is>
      </c>
      <c r="F31" s="33" t="inlineStr">
        <is>
          <t>MIXED</t>
        </is>
      </c>
      <c r="G31" s="33" t="inlineStr">
        <is>
          <t>BLS/Yahoo</t>
        </is>
      </c>
      <c r="H31" s="34" t="inlineStr">
        <is>
          <t>HIGH</t>
        </is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"/>
  <sheetViews>
    <sheetView tabSelected="1" zoomScaleNormal="100" workbookViewId="0">
      <selection activeCell="A1" sqref="A1"/>
    </sheetView>
  </sheetViews>
  <sheetFormatPr baseColWidth="8" defaultColWidth="8.609375" defaultRowHeight="15"/>
  <cols>
    <col width="89.99609375" customWidth="1" style="49" min="1" max="1"/>
  </cols>
  <sheetData>
    <row r="1" ht="24" customHeight="1" s="49">
      <c r="A1" s="48" t="inlineStr">
        <is>
          <t>REFERENCE &amp; METHODOLOGY</t>
        </is>
      </c>
    </row>
    <row r="2">
      <c r="A2" s="7" t="n"/>
    </row>
    <row r="3">
      <c r="A3" s="7" t="inlineStr">
        <is>
          <t>Data sources:</t>
        </is>
      </c>
    </row>
    <row r="4">
      <c r="A4" s="7" t="inlineStr">
        <is>
          <t>• S&amp;P 500 / Nasdaq closes: FRED St. Louis Fed (SP500, NASDAQCOM series)</t>
        </is>
      </c>
    </row>
    <row r="5">
      <c r="A5" s="7" t="inlineStr">
        <is>
          <t>• WTI / Brent: TradingEconomics, Investing.com, Fortune oil reports, EIA</t>
        </is>
      </c>
    </row>
    <row r="6">
      <c r="A6" s="7" t="inlineStr">
        <is>
          <t>• Deal flow: Reuters, Bloomberg, PE Wire, CNBC, Cleary Gottlieb, HarbourVest</t>
        </is>
      </c>
    </row>
    <row r="7">
      <c r="A7" s="7" t="n"/>
    </row>
    <row r="8">
      <c r="A8" s="7" t="inlineStr">
        <is>
          <t>Tracking conventions:</t>
        </is>
      </c>
    </row>
    <row r="9">
      <c r="A9" s="7" t="inlineStr">
        <is>
          <t>• Daily Δ% calculated against prior trading day (excludes weekends/holidays)</t>
        </is>
      </c>
    </row>
    <row r="10">
      <c r="A10" s="7" t="inlineStr">
        <is>
          <t>• April MTD% benchmarked to Mar 31, 2026 close (6,528.52)</t>
        </is>
      </c>
    </row>
    <row r="11">
      <c r="A11" s="7" t="inlineStr">
        <is>
          <t>• Brent-WTI spread = Brent − WTI; flag when &gt;$10 (geopolitical premium signal)</t>
        </is>
      </c>
    </row>
    <row r="12">
      <c r="A12" s="7" t="inlineStr">
        <is>
          <t>• Yellow rows = newly added since last Drive update (Apr 27 → May 5, 2026)</t>
        </is>
      </c>
    </row>
    <row r="13">
      <c r="A13" s="7" t="n"/>
    </row>
    <row r="14">
      <c r="A14" s="7" t="inlineStr">
        <is>
          <t>Roadmap status (per original architecture):</t>
        </is>
      </c>
    </row>
    <row r="15">
      <c r="A15" s="7" t="inlineStr">
        <is>
          <t>• ✅ Master Log (live)</t>
        </is>
      </c>
    </row>
    <row r="16">
      <c r="A16" s="7" t="inlineStr">
        <is>
          <t>• ✅ S&amp;P 500 Tracker with 5/7-day MA + MTD% (live)</t>
        </is>
      </c>
    </row>
    <row r="17">
      <c r="A17" s="7" t="inlineStr">
        <is>
          <t>• ✅ Oil Tracker with WTI-Brent spread (live)</t>
        </is>
      </c>
    </row>
    <row r="18">
      <c r="A18" s="7" t="inlineStr">
        <is>
          <t>• ✅ Sector Intelligence Log (live)</t>
        </is>
      </c>
    </row>
    <row r="19">
      <c r="A19" s="7" t="inlineStr">
        <is>
          <t>• ⏳ PE Deal Register (next - dedicated structure)</t>
        </is>
      </c>
    </row>
    <row r="20">
      <c r="A20" s="7" t="inlineStr">
        <is>
          <t>• ⏳ Macro Scorecard (next)</t>
        </is>
      </c>
    </row>
    <row r="21">
      <c r="A21" s="7" t="inlineStr">
        <is>
          <t>• ⏳ Sector Momentum dashboard (next)</t>
        </is>
      </c>
    </row>
    <row r="22">
      <c r="A22" s="7" t="n"/>
    </row>
    <row r="23">
      <c r="A23" s="7" t="inlineStr">
        <is>
          <t>Update protocol:</t>
        </is>
      </c>
    </row>
    <row r="24">
      <c r="A24" s="7" t="inlineStr">
        <is>
          <t>• On every 'Daily report' command, append a row to Master Log + S&amp;P Tracker + Oil Tracker</t>
        </is>
      </c>
    </row>
    <row r="25">
      <c r="A25" s="7" t="inlineStr">
        <is>
          <t>• Sector Intelligence Log updated when material deal/headline emerges</t>
        </is>
      </c>
    </row>
    <row r="26">
      <c r="A26" s="7" t="inlineStr">
        <is>
          <t>• Last Updated timestamp on Master Log A2 must be revised each touch</t>
        </is>
      </c>
    </row>
    <row r="28">
      <c r="A28" t="inlineStr">
        <is>
          <t>Loop workflow update (2026-07-15):</t>
        </is>
      </c>
    </row>
    <row r="29">
      <c r="A29" t="inlineStr">
        <is>
          <t>- Continuous record Apr 20 -&gt; Jul 3 2026.</t>
        </is>
      </c>
    </row>
    <row r="30">
      <c r="A30" t="inlineStr">
        <is>
          <t>- May 6 - Jun 4 backfilled with verified milestone closes (7,365 -&gt; 7,609.78 record run); no fabricated daily prints.</t>
        </is>
      </c>
    </row>
    <row r="31">
      <c r="A31" t="inlineStr">
        <is>
          <t>- Some late-June S&amp;P levels derived from confirmed % moves (noted).</t>
        </is>
      </c>
    </row>
    <row r="32">
      <c r="A32" t="inlineStr">
        <is>
          <t>- This workbook is the canonical loop target; /daily-report appends here each cycle.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2026-05-07T02:35:24Z</dcterms:created>
  <dcterms:modified xsi:type="dcterms:W3CDTF">2026-07-15T02:46:05Z</dcterms:modified>
  <cp:lastModifiedBy>Isaiah J Bernard</cp:lastModifiedBy>
  <cp:revision>0</cp:revision>
</cp:coreProperties>
</file>